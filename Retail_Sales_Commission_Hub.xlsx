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3bee625a5a3531/Desktop/"/>
    </mc:Choice>
  </mc:AlternateContent>
  <xr:revisionPtr revIDLastSave="801" documentId="8_{69A1FFB5-50D0-4CA6-984A-68BA2855C9E3}" xr6:coauthVersionLast="47" xr6:coauthVersionMax="47" xr10:uidLastSave="{9A63659F-A1B6-4CC2-BD8A-7E745A01B45A}"/>
  <bookViews>
    <workbookView xWindow="-120" yWindow="-120" windowWidth="20730" windowHeight="11760" xr2:uid="{2BF9B3DD-5775-4B82-AC56-654F8C78387F}"/>
  </bookViews>
  <sheets>
    <sheet name="Raw Data" sheetId="6" r:id="rId1"/>
    <sheet name="Commission" sheetId="7" r:id="rId2"/>
    <sheet name="Summary Tables" sheetId="5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4" l="1"/>
  <c r="A2" i="4"/>
  <c r="I2" i="4"/>
  <c r="G2" i="5"/>
  <c r="G3" i="5"/>
  <c r="G4" i="5"/>
  <c r="C18" i="5"/>
  <c r="C17" i="5"/>
  <c r="C16" i="5"/>
  <c r="B17" i="5"/>
  <c r="B16" i="5"/>
  <c r="B18" i="5"/>
  <c r="E12" i="5"/>
  <c r="E13" i="5"/>
  <c r="D12" i="5"/>
  <c r="D13" i="5"/>
  <c r="C12" i="5"/>
  <c r="C13" i="5"/>
  <c r="B9" i="5"/>
  <c r="B8" i="5"/>
  <c r="B7" i="5"/>
  <c r="E2" i="5"/>
  <c r="E3" i="5"/>
  <c r="E4" i="5"/>
  <c r="D2" i="5"/>
  <c r="D3" i="5"/>
  <c r="D4" i="5"/>
  <c r="F13" i="5"/>
  <c r="F12" i="5"/>
  <c r="B13" i="5"/>
  <c r="B12" i="5"/>
  <c r="C2" i="5"/>
  <c r="I202" i="6"/>
  <c r="F202" i="6"/>
  <c r="C4" i="5"/>
  <c r="C3" i="5"/>
  <c r="B3" i="5"/>
  <c r="F3" i="5" s="1"/>
  <c r="B4" i="5"/>
  <c r="F4" i="5" s="1"/>
  <c r="B2" i="5"/>
  <c r="E3" i="7"/>
  <c r="F3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E87" i="7"/>
  <c r="F87" i="7"/>
  <c r="E88" i="7"/>
  <c r="F88" i="7"/>
  <c r="E89" i="7"/>
  <c r="F89" i="7"/>
  <c r="E90" i="7"/>
  <c r="F90" i="7"/>
  <c r="E91" i="7"/>
  <c r="F91" i="7"/>
  <c r="E92" i="7"/>
  <c r="F92" i="7"/>
  <c r="E93" i="7"/>
  <c r="F93" i="7"/>
  <c r="E94" i="7"/>
  <c r="F94" i="7"/>
  <c r="E95" i="7"/>
  <c r="F95" i="7"/>
  <c r="E96" i="7"/>
  <c r="F96" i="7"/>
  <c r="E97" i="7"/>
  <c r="F97" i="7"/>
  <c r="E98" i="7"/>
  <c r="F98" i="7"/>
  <c r="E99" i="7"/>
  <c r="F99" i="7"/>
  <c r="E100" i="7"/>
  <c r="F100" i="7"/>
  <c r="E101" i="7"/>
  <c r="F101" i="7"/>
  <c r="E102" i="7"/>
  <c r="F102" i="7"/>
  <c r="E103" i="7"/>
  <c r="F103" i="7"/>
  <c r="E104" i="7"/>
  <c r="F104" i="7"/>
  <c r="E105" i="7"/>
  <c r="F105" i="7"/>
  <c r="E106" i="7"/>
  <c r="F106" i="7"/>
  <c r="E107" i="7"/>
  <c r="F107" i="7"/>
  <c r="E108" i="7"/>
  <c r="F108" i="7"/>
  <c r="E109" i="7"/>
  <c r="F109" i="7"/>
  <c r="E110" i="7"/>
  <c r="F110" i="7"/>
  <c r="E111" i="7"/>
  <c r="F111" i="7"/>
  <c r="E112" i="7"/>
  <c r="F112" i="7"/>
  <c r="E113" i="7"/>
  <c r="F113" i="7"/>
  <c r="E114" i="7"/>
  <c r="F114" i="7"/>
  <c r="E115" i="7"/>
  <c r="F115" i="7"/>
  <c r="E116" i="7"/>
  <c r="F116" i="7"/>
  <c r="E117" i="7"/>
  <c r="F117" i="7"/>
  <c r="E118" i="7"/>
  <c r="F118" i="7"/>
  <c r="E119" i="7"/>
  <c r="F119" i="7"/>
  <c r="E120" i="7"/>
  <c r="F120" i="7"/>
  <c r="E121" i="7"/>
  <c r="F121" i="7"/>
  <c r="E122" i="7"/>
  <c r="F122" i="7"/>
  <c r="E123" i="7"/>
  <c r="F123" i="7"/>
  <c r="E124" i="7"/>
  <c r="F124" i="7"/>
  <c r="E125" i="7"/>
  <c r="F125" i="7"/>
  <c r="E126" i="7"/>
  <c r="F126" i="7"/>
  <c r="E127" i="7"/>
  <c r="F127" i="7"/>
  <c r="E128" i="7"/>
  <c r="F128" i="7"/>
  <c r="E129" i="7"/>
  <c r="F129" i="7"/>
  <c r="E130" i="7"/>
  <c r="F130" i="7"/>
  <c r="E131" i="7"/>
  <c r="F131" i="7"/>
  <c r="E132" i="7"/>
  <c r="F132" i="7"/>
  <c r="E133" i="7"/>
  <c r="F133" i="7"/>
  <c r="E134" i="7"/>
  <c r="F134" i="7"/>
  <c r="E135" i="7"/>
  <c r="F135" i="7"/>
  <c r="E136" i="7"/>
  <c r="F136" i="7"/>
  <c r="E137" i="7"/>
  <c r="F137" i="7"/>
  <c r="E138" i="7"/>
  <c r="F138" i="7"/>
  <c r="E139" i="7"/>
  <c r="F139" i="7"/>
  <c r="E140" i="7"/>
  <c r="F140" i="7"/>
  <c r="E141" i="7"/>
  <c r="F141" i="7"/>
  <c r="E142" i="7"/>
  <c r="F142" i="7"/>
  <c r="E143" i="7"/>
  <c r="F143" i="7"/>
  <c r="E144" i="7"/>
  <c r="F144" i="7"/>
  <c r="E145" i="7"/>
  <c r="F145" i="7"/>
  <c r="E146" i="7"/>
  <c r="F146" i="7"/>
  <c r="E147" i="7"/>
  <c r="F147" i="7"/>
  <c r="E148" i="7"/>
  <c r="F148" i="7"/>
  <c r="E149" i="7"/>
  <c r="F149" i="7"/>
  <c r="E150" i="7"/>
  <c r="F150" i="7"/>
  <c r="E151" i="7"/>
  <c r="F151" i="7"/>
  <c r="E152" i="7"/>
  <c r="F152" i="7"/>
  <c r="E153" i="7"/>
  <c r="F153" i="7"/>
  <c r="E154" i="7"/>
  <c r="F154" i="7"/>
  <c r="E155" i="7"/>
  <c r="F155" i="7"/>
  <c r="E156" i="7"/>
  <c r="F156" i="7"/>
  <c r="E157" i="7"/>
  <c r="F157" i="7"/>
  <c r="E158" i="7"/>
  <c r="F158" i="7"/>
  <c r="E159" i="7"/>
  <c r="F159" i="7"/>
  <c r="E160" i="7"/>
  <c r="F160" i="7"/>
  <c r="E161" i="7"/>
  <c r="F161" i="7"/>
  <c r="E162" i="7"/>
  <c r="F162" i="7"/>
  <c r="E163" i="7"/>
  <c r="F163" i="7"/>
  <c r="E164" i="7"/>
  <c r="F164" i="7"/>
  <c r="E165" i="7"/>
  <c r="F165" i="7"/>
  <c r="E166" i="7"/>
  <c r="F166" i="7"/>
  <c r="E167" i="7"/>
  <c r="F167" i="7"/>
  <c r="E168" i="7"/>
  <c r="F168" i="7"/>
  <c r="E169" i="7"/>
  <c r="F169" i="7"/>
  <c r="E170" i="7"/>
  <c r="F170" i="7"/>
  <c r="E171" i="7"/>
  <c r="F171" i="7"/>
  <c r="E172" i="7"/>
  <c r="F172" i="7"/>
  <c r="E173" i="7"/>
  <c r="F173" i="7"/>
  <c r="E174" i="7"/>
  <c r="F174" i="7"/>
  <c r="E175" i="7"/>
  <c r="F175" i="7"/>
  <c r="E176" i="7"/>
  <c r="F176" i="7"/>
  <c r="E177" i="7"/>
  <c r="F177" i="7"/>
  <c r="E178" i="7"/>
  <c r="F178" i="7"/>
  <c r="E179" i="7"/>
  <c r="F179" i="7"/>
  <c r="E180" i="7"/>
  <c r="F180" i="7"/>
  <c r="E181" i="7"/>
  <c r="F181" i="7"/>
  <c r="E182" i="7"/>
  <c r="F182" i="7"/>
  <c r="E183" i="7"/>
  <c r="F183" i="7"/>
  <c r="E184" i="7"/>
  <c r="F184" i="7"/>
  <c r="E185" i="7"/>
  <c r="F185" i="7"/>
  <c r="E186" i="7"/>
  <c r="F186" i="7"/>
  <c r="E187" i="7"/>
  <c r="F187" i="7"/>
  <c r="E188" i="7"/>
  <c r="F188" i="7"/>
  <c r="E189" i="7"/>
  <c r="F189" i="7"/>
  <c r="E190" i="7"/>
  <c r="F190" i="7"/>
  <c r="E191" i="7"/>
  <c r="F191" i="7"/>
  <c r="E192" i="7"/>
  <c r="F192" i="7"/>
  <c r="E193" i="7"/>
  <c r="F193" i="7"/>
  <c r="E194" i="7"/>
  <c r="F194" i="7"/>
  <c r="E195" i="7"/>
  <c r="F195" i="7"/>
  <c r="E196" i="7"/>
  <c r="F196" i="7"/>
  <c r="E197" i="7"/>
  <c r="F197" i="7"/>
  <c r="E198" i="7"/>
  <c r="F198" i="7"/>
  <c r="E199" i="7"/>
  <c r="F199" i="7"/>
  <c r="E200" i="7"/>
  <c r="F200" i="7"/>
  <c r="E201" i="7"/>
  <c r="F201" i="7"/>
  <c r="F2" i="7"/>
  <c r="E2" i="7"/>
  <c r="F2" i="5" l="1"/>
  <c r="D16" i="5"/>
  <c r="D17" i="5"/>
  <c r="D18" i="5"/>
  <c r="G12" i="5"/>
  <c r="G13" i="5"/>
</calcChain>
</file>

<file path=xl/sharedStrings.xml><?xml version="1.0" encoding="utf-8"?>
<sst xmlns="http://schemas.openxmlformats.org/spreadsheetml/2006/main" count="851" uniqueCount="236">
  <si>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</si>
  <si>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</si>
  <si>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</si>
  <si>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</si>
  <si>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</si>
  <si>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</si>
  <si>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</si>
  <si>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</si>
  <si>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</si>
  <si>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</si>
  <si>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</si>
  <si>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</si>
  <si>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</si>
  <si>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</si>
  <si>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</si>
  <si>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</si>
  <si>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</si>
  <si>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</si>
  <si>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</si>
  <si>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</si>
  <si>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</si>
  <si>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</si>
  <si>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</si>
  <si>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</si>
  <si>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</si>
  <si>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</si>
  <si>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</si>
  <si>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</si>
  <si>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</si>
  <si>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</si>
  <si>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</si>
  <si>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</si>
  <si>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</si>
  <si>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</si>
  <si>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</si>
  <si>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</si>
  <si>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</si>
  <si>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</si>
  <si>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</si>
  <si>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</si>
  <si>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</si>
  <si>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</si>
  <si>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</si>
  <si>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</si>
  <si>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</si>
  <si>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</si>
  <si>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</si>
  <si>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</si>
  <si>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</si>
  <si>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</si>
  <si>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</si>
  <si>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</si>
  <si>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</si>
  <si>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</si>
  <si>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</si>
  <si>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</si>
  <si>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</si>
  <si>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</si>
  <si>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</si>
  <si>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</si>
  <si>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</si>
  <si>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</si>
  <si>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</si>
  <si>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</si>
  <si>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</si>
  <si>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</si>
  <si>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</si>
  <si>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</si>
  <si>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</si>
  <si>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</si>
  <si>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</si>
  <si>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</si>
  <si>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</si>
  <si>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</si>
  <si>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</si>
  <si>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</si>
  <si>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</si>
  <si>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</si>
  <si>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</si>
  <si>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</si>
  <si>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</si>
  <si>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</si>
  <si>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</si>
  <si>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</si>
  <si>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</si>
  <si>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</si>
  <si>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</si>
  <si>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</si>
  <si>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</si>
  <si>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</si>
  <si>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</si>
  <si>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</si>
  <si>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</si>
  <si>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</si>
  <si>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</si>
  <si>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</si>
  <si>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</si>
  <si>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</si>
  <si>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</si>
  <si>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</si>
  <si>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</si>
  <si>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</si>
  <si>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</si>
  <si>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</si>
  <si>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</si>
  <si>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</si>
  <si>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</si>
  <si>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</si>
  <si>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</si>
  <si>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</si>
  <si>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</si>
  <si>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</si>
  <si>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</si>
  <si>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</si>
  <si>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</si>
  <si>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</si>
  <si>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</si>
  <si>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</si>
  <si>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</si>
  <si>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</si>
  <si>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</si>
  <si>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</si>
  <si>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</si>
  <si>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</si>
  <si>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</si>
  <si>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</si>
  <si>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</si>
  <si>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</si>
  <si>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</si>
  <si>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</si>
  <si>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</si>
  <si>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</si>
  <si>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</si>
  <si>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</si>
  <si>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</si>
  <si>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</si>
  <si>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</si>
  <si>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</si>
  <si>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</si>
  <si>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</si>
  <si>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</si>
  <si>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</si>
  <si>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</si>
  <si>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</si>
  <si>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</si>
  <si>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</si>
  <si>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</si>
  <si>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</si>
  <si>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</si>
  <si>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</si>
  <si>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</si>
  <si>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</si>
  <si>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</si>
  <si>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</si>
  <si>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</si>
  <si>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</si>
  <si>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</si>
  <si>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</si>
  <si>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</si>
  <si>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</si>
  <si>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</si>
  <si>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</si>
  <si>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</si>
  <si>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</si>
  <si>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</si>
  <si>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</si>
  <si>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</si>
  <si>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</si>
  <si>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</si>
  <si>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</si>
  <si>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</si>
  <si>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</si>
  <si>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</si>
  <si>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</si>
  <si>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</si>
  <si>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</si>
  <si>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</si>
  <si>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</si>
  <si>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</si>
  <si>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</si>
  <si>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</si>
  <si>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</si>
  <si>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</si>
  <si>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</si>
  <si>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</si>
  <si>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</si>
  <si>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</si>
  <si>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</si>
  <si>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</si>
  <si>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</si>
  <si>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</si>
  <si>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</si>
  <si>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</si>
  <si>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</si>
  <si>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</si>
  <si>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</si>
  <si>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</si>
  <si>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</si>
  <si>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</si>
  <si>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</si>
  <si>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</si>
  <si>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</si>
  <si>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</si>
  <si>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</si>
  <si>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</si>
  <si>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</si>
  <si>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</si>
  <si>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</si>
  <si>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</si>
  <si>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</si>
  <si>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</si>
  <si>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</si>
  <si>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</si>
  <si>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</si>
  <si>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Commission Rate</t>
  </si>
  <si>
    <t>Commission Payout</t>
  </si>
  <si>
    <t>Minimum Sales</t>
  </si>
  <si>
    <t>Total Revenue</t>
  </si>
  <si>
    <t>Total Orders</t>
  </si>
  <si>
    <t>Average Order Value</t>
  </si>
  <si>
    <t>Total Sales</t>
  </si>
  <si>
    <t>Average Spending</t>
  </si>
  <si>
    <t>Male orders</t>
  </si>
  <si>
    <t>Female orders</t>
  </si>
  <si>
    <t>Metric</t>
  </si>
  <si>
    <t>Value</t>
  </si>
  <si>
    <t>Total Commission Paid</t>
  </si>
  <si>
    <t>Highest Single Commission</t>
  </si>
  <si>
    <t>Average Commission Rate</t>
  </si>
  <si>
    <t>Age Tier</t>
  </si>
  <si>
    <t>Young Adult (18 - 29)</t>
  </si>
  <si>
    <t>Middle Age (30 - 49)</t>
  </si>
  <si>
    <t>Seniors (50+)</t>
  </si>
  <si>
    <t>Total Transactions</t>
  </si>
  <si>
    <t>Commission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</si>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</sst>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9" fontId="0" fillId="0" borderId="0" xfId="2" applyFont="1" applyAlignment="1">
      <alignment horizontal="center" wrapText="1"/>
    </xf>
    <xf numFmtId="9" fontId="0" fillId="0" borderId="0" xfId="1" applyNumberFormat="1" applyFont="1"/>
    <xf numFmtId="1" fontId="0" fillId="0" borderId="0" xfId="1" applyNumberFormat="1" applyFont="1"/>
    <xf numFmtId="14" fontId="0" fillId="0" borderId="0" xfId="0" applyNumberFormat="1" applyAlignment="1">
      <alignment horizontal="center"/>
    </xf>
    <xf numFmtId="44" fontId="1" fillId="0" borderId="0" xfId="1" applyFont="1" applyAlignment="1">
      <alignment horizontal="center" wrapText="1"/>
    </xf>
    <xf numFmtId="0" fontId="2" fillId="2" borderId="1" xfId="3" applyFont="1" applyBorder="1" applyAlignment="1">
      <alignment horizontal="center"/>
    </xf>
    <xf numFmtId="44" fontId="3" fillId="2" borderId="1" xfId="3" applyNumberFormat="1" applyBorder="1" applyAlignment="1">
      <alignment horizontal="center"/>
    </xf>
    <xf numFmtId="0" fontId="3" fillId="2" borderId="1" xfId="3" applyBorder="1" applyAlignment="1">
      <alignment horizontal="center"/>
    </xf>
    <xf numFmtId="44" fontId="0" fillId="0" borderId="0" xfId="1" applyFont="1" applyAlignment="1">
      <alignment horizontal="center"/>
    </xf>
    <xf numFmtId="44" fontId="3" fillId="2" borderId="1" xfId="1" applyNumberFormat="1" applyFont="1" applyFill="1" applyBorder="1" applyAlignment="1"/>
  </cellXfs>
  <cellStyles count="4">
    <cellStyle name="Accent1" xfId="3" builtinId="29"/>
    <cellStyle name="Currency" xfId="1" builtinId="4"/>
    <cellStyle name="Normal" xfId="0" builtinId="0"/>
    <cellStyle name="Percent" xfId="2" builtinId="5"/>
  </cellStyles>
  <dxfs count="32">
    <dxf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alignment horizontal="center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REVENUE BREAKDOWN BY PRODUCT CATEGORY</a:t>
            </a:r>
          </a:p>
        </c:rich>
      </c:tx>
      <c:layout>
        <c:manualLayout>
          <c:xMode val="edge"/>
          <c:yMode val="edge"/>
          <c:x val="0.13465721040189121"/>
          <c:y val="3.5087719298245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Tables'!$B$1</c:f>
              <c:strCache>
                <c:ptCount val="1"/>
                <c:pt idx="0">
                  <c:v> Total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Tables'!$A$2:$A$4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'Summary Tables'!$B$2:$B$4</c:f>
              <c:numCache>
                <c:formatCode>_("$"* #,##0.00_);_("$"* \(#,##0.00\);_("$"* "-"??_);_(@_)</c:formatCode>
                <c:ptCount val="3"/>
                <c:pt idx="0">
                  <c:v>32845</c:v>
                </c:pt>
                <c:pt idx="1">
                  <c:v>29460</c:v>
                </c:pt>
                <c:pt idx="2">
                  <c:v>41330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1-4D56-AA3F-B3B9660B2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2399"/>
        <c:axId val="6793503"/>
      </c:barChart>
      <c:catAx>
        <c:axId val="1067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3503"/>
        <c:crosses val="autoZero"/>
        <c:auto val="1"/>
        <c:lblAlgn val="ctr"/>
        <c:lblOffset val="100"/>
        <c:noMultiLvlLbl val="0"/>
      </c:catAx>
      <c:valAx>
        <c:axId val="679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WISE ORDERS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Tables'!$B$11:$E$11</c:f>
              <c:strCache>
                <c:ptCount val="4"/>
                <c:pt idx="0">
                  <c:v> Total Orders </c:v>
                </c:pt>
                <c:pt idx="1">
                  <c:v> Clothing </c:v>
                </c:pt>
                <c:pt idx="2">
                  <c:v> Beauty </c:v>
                </c:pt>
                <c:pt idx="3">
                  <c:v> Electronics </c:v>
                </c:pt>
              </c:strCache>
            </c:strRef>
          </c:cat>
          <c:val>
            <c:numRef>
              <c:f>'Summary Tables'!$B$12:$E$12</c:f>
              <c:numCache>
                <c:formatCode>General</c:formatCode>
                <c:ptCount val="4"/>
                <c:pt idx="0">
                  <c:v>100</c:v>
                </c:pt>
                <c:pt idx="1">
                  <c:v>38</c:v>
                </c:pt>
                <c:pt idx="2">
                  <c:v>30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3-4ADE-9A46-46DC4B6044B9}"/>
            </c:ext>
          </c:extLst>
        </c:ser>
        <c:ser>
          <c:idx val="1"/>
          <c:order val="1"/>
          <c:tx>
            <c:strRef>
              <c:f>'Summary Tables'!$A$13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Tables'!$B$11:$E$11</c:f>
              <c:strCache>
                <c:ptCount val="4"/>
                <c:pt idx="0">
                  <c:v> Total Orders </c:v>
                </c:pt>
                <c:pt idx="1">
                  <c:v> Clothing </c:v>
                </c:pt>
                <c:pt idx="2">
                  <c:v> Beauty </c:v>
                </c:pt>
                <c:pt idx="3">
                  <c:v> Electronics </c:v>
                </c:pt>
              </c:strCache>
            </c:strRef>
          </c:cat>
          <c:val>
            <c:numRef>
              <c:f>'Summary Tables'!$B$13:$E$13</c:f>
              <c:numCache>
                <c:formatCode>General</c:formatCode>
                <c:ptCount val="4"/>
                <c:pt idx="0">
                  <c:v>100</c:v>
                </c:pt>
                <c:pt idx="1">
                  <c:v>36</c:v>
                </c:pt>
                <c:pt idx="2">
                  <c:v>35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3-4ADE-9A46-46DC4B60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32399"/>
        <c:axId val="6819903"/>
      </c:barChart>
      <c:catAx>
        <c:axId val="869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903"/>
        <c:crosses val="autoZero"/>
        <c:auto val="1"/>
        <c:lblAlgn val="ctr"/>
        <c:lblOffset val="100"/>
        <c:noMultiLvlLbl val="0"/>
      </c:catAx>
      <c:valAx>
        <c:axId val="68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Commission</a:t>
            </a:r>
            <a:r>
              <a:rPr lang="en-US" baseline="0"/>
              <a:t> breakdown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707372220789771E-2"/>
          <c:y val="0.27778652668416448"/>
          <c:w val="0.80111254355170336"/>
          <c:h val="0.61406605424321958"/>
        </c:manualLayout>
      </c:layout>
      <c:pie3DChart>
        <c:varyColors val="1"/>
        <c:ser>
          <c:idx val="5"/>
          <c:order val="5"/>
          <c:tx>
            <c:strRef>
              <c:f>'Summary Tables'!$G$1</c:f>
              <c:strCache>
                <c:ptCount val="1"/>
                <c:pt idx="0">
                  <c:v>Commission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40C-4954-AF9B-0D80A0B1B6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40C-4954-AF9B-0D80A0B1B6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40C-4954-AF9B-0D80A0B1B62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40C-4954-AF9B-0D80A0B1B62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40C-4954-AF9B-0D80A0B1B62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40C-4954-AF9B-0D80A0B1B62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Tables'!$A$2:$A$4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'Summary Tables'!$G$2:$G$4</c:f>
              <c:numCache>
                <c:formatCode>_("$"* #,##0.00_);_("$"* \(#,##0.00\);_("$"* "-"??_);_(@_)</c:formatCode>
                <c:ptCount val="3"/>
                <c:pt idx="0">
                  <c:v>2211.125</c:v>
                </c:pt>
                <c:pt idx="1">
                  <c:v>1791.5</c:v>
                </c:pt>
                <c:pt idx="2">
                  <c:v>3245.75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0C-4954-AF9B-0D80A0B1B62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'Summary Tables'!$B$1</c15:sqref>
                        </c15:formulaRef>
                      </c:ext>
                    </c:extLst>
                    <c:strCache>
                      <c:ptCount val="1"/>
                      <c:pt idx="0">
                        <c:v> Total Revenue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940C-4954-AF9B-0D80A0B1B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A-940C-4954-AF9B-0D80A0B1B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C-940C-4954-AF9B-0D80A0B1B62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940C-4954-AF9B-0D80A0B1B62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A-940C-4954-AF9B-0D80A0B1B62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C-940C-4954-AF9B-0D80A0B1B62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'Summary Tables'!$A$2:$A$4</c15:sqref>
                        </c15:formulaRef>
                      </c:ext>
                    </c:extLst>
                    <c:strCache>
                      <c:ptCount val="3"/>
                      <c:pt idx="0">
                        <c:v>Beauty</c:v>
                      </c:pt>
                      <c:pt idx="1">
                        <c:v>Clothing</c:v>
                      </c:pt>
                      <c:pt idx="2">
                        <c:v>Electronics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'Summary Tables'!$B$2:$B$4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32845</c:v>
                      </c:pt>
                      <c:pt idx="1">
                        <c:v>29460</c:v>
                      </c:pt>
                      <c:pt idx="2">
                        <c:v>41330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940C-4954-AF9B-0D80A0B1B62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Tables'!$C$1</c15:sqref>
                        </c15:formulaRef>
                      </c:ext>
                    </c:extLst>
                    <c:strCache>
                      <c:ptCount val="1"/>
                      <c:pt idx="0">
                        <c:v>Total Orders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940C-4954-AF9B-0D80A0B1B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40C-4954-AF9B-0D80A0B1B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40C-4954-AF9B-0D80A0B1B62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F-940C-4954-AF9B-0D80A0B1B62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1-940C-4954-AF9B-0D80A0B1B62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3-940C-4954-AF9B-0D80A0B1B62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Tables'!$A$2:$A$4</c15:sqref>
                        </c15:formulaRef>
                      </c:ext>
                    </c:extLst>
                    <c:strCache>
                      <c:ptCount val="3"/>
                      <c:pt idx="0">
                        <c:v>Beauty</c:v>
                      </c:pt>
                      <c:pt idx="1">
                        <c:v>Clothing</c:v>
                      </c:pt>
                      <c:pt idx="2">
                        <c:v>Electronics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'Summary Tables'!$C$2:$C$4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</c:v>
                      </c:pt>
                      <c:pt idx="1">
                        <c:v>74</c:v>
                      </c:pt>
                      <c:pt idx="2">
                        <c:v>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40C-4954-AF9B-0D80A0B1B62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Tables'!$D$1</c15:sqref>
                        </c15:formulaRef>
                      </c:ext>
                    </c:extLst>
                    <c:strCache>
                      <c:ptCount val="1"/>
                      <c:pt idx="0">
                        <c:v>Male orders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6-940C-4954-AF9B-0D80A0B1B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8-940C-4954-AF9B-0D80A0B1B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940C-4954-AF9B-0D80A0B1B62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6-940C-4954-AF9B-0D80A0B1B62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8-940C-4954-AF9B-0D80A0B1B62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A-940C-4954-AF9B-0D80A0B1B62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Tables'!$A$2:$A$4</c15:sqref>
                        </c15:formulaRef>
                      </c:ext>
                    </c:extLst>
                    <c:strCache>
                      <c:ptCount val="3"/>
                      <c:pt idx="0">
                        <c:v>Beauty</c:v>
                      </c:pt>
                      <c:pt idx="1">
                        <c:v>Clothing</c:v>
                      </c:pt>
                      <c:pt idx="2">
                        <c:v>Electronics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'Summary Tables'!$D$2:$D$4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30</c:v>
                      </c:pt>
                      <c:pt idx="1">
                        <c:v>38</c:v>
                      </c:pt>
                      <c:pt idx="2">
                        <c:v>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40C-4954-AF9B-0D80A0B1B62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Tables'!$E$1</c15:sqref>
                        </c15:formulaRef>
                      </c:ext>
                    </c:extLst>
                    <c:strCache>
                      <c:ptCount val="1"/>
                      <c:pt idx="0">
                        <c:v>Female orders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940C-4954-AF9B-0D80A0B1B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940C-4954-AF9B-0D80A0B1B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940C-4954-AF9B-0D80A0B1B62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D-940C-4954-AF9B-0D80A0B1B62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F-940C-4954-AF9B-0D80A0B1B62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1-940C-4954-AF9B-0D80A0B1B62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Tables'!$A$2:$A$4</c15:sqref>
                        </c15:formulaRef>
                      </c:ext>
                    </c:extLst>
                    <c:strCache>
                      <c:ptCount val="3"/>
                      <c:pt idx="0">
                        <c:v>Beauty</c:v>
                      </c:pt>
                      <c:pt idx="1">
                        <c:v>Clothing</c:v>
                      </c:pt>
                      <c:pt idx="2">
                        <c:v>Electronics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'Summary Tables'!$E$2:$E$4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35</c:v>
                      </c:pt>
                      <c:pt idx="1">
                        <c:v>36</c:v>
                      </c:pt>
                      <c:pt idx="2">
                        <c:v>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940C-4954-AF9B-0D80A0B1B62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Tables'!$F$1</c15:sqref>
                        </c15:formulaRef>
                      </c:ext>
                    </c:extLst>
                    <c:strCache>
                      <c:ptCount val="1"/>
                      <c:pt idx="0">
                        <c:v>Average Order Value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940C-4954-AF9B-0D80A0B1B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940C-4954-AF9B-0D80A0B1B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8-940C-4954-AF9B-0D80A0B1B62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4-940C-4954-AF9B-0D80A0B1B62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6-940C-4954-AF9B-0D80A0B1B62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8-940C-4954-AF9B-0D80A0B1B62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Tables'!$A$2:$A$4</c15:sqref>
                        </c15:formulaRef>
                      </c:ext>
                    </c:extLst>
                    <c:strCache>
                      <c:ptCount val="3"/>
                      <c:pt idx="0">
                        <c:v>Beauty</c:v>
                      </c:pt>
                      <c:pt idx="1">
                        <c:v>Clothing</c:v>
                      </c:pt>
                      <c:pt idx="2">
                        <c:v>Electronics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'Summary Tables'!$F$2:$F$4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505.30769230769232</c:v>
                      </c:pt>
                      <c:pt idx="1">
                        <c:v>398.10810810810813</c:v>
                      </c:pt>
                      <c:pt idx="2">
                        <c:v>677.54098360655735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940C-4954-AF9B-0D80A0B1B62C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9524</xdr:rowOff>
    </xdr:from>
    <xdr:to>
      <xdr:col>3</xdr:col>
      <xdr:colOff>9525</xdr:colOff>
      <xdr:row>14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FBD22-DEE4-4DC7-8B5F-239972B5F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</xdr:row>
      <xdr:rowOff>190499</xdr:rowOff>
    </xdr:from>
    <xdr:to>
      <xdr:col>6</xdr:col>
      <xdr:colOff>1371600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743EE-4CCB-4218-AA1A-47D33A5C8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361950</xdr:colOff>
      <xdr:row>3</xdr:row>
      <xdr:rowOff>9525</xdr:rowOff>
    </xdr:from>
    <xdr:to>
      <xdr:col>10</xdr:col>
      <xdr:colOff>1285875</xdr:colOff>
      <xdr:row>14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336579-98E6-4F82-82F0-FAA03DFA8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55550B-FE7A-4641-884B-3D2552F4427E}" name="_salesdata" displayName="_salesdata" ref="A1:I202" totalsRowCount="1" headerRowDxfId="31">
  <autoFilter ref="A1:I201" xr:uid="{4055550B-FE7A-4641-884B-3D2552F4427E}"/>
  <tableColumns count="9">
    <tableColumn id="1" xr3:uid="{7E213F65-D5B3-4FB8-AA84-F86699468249}" name="Transaction ID" dataDxfId="30" totalsRowDxfId="29"/>
    <tableColumn id="2" xr3:uid="{6FFBC35B-8E0C-4E93-BAA8-06BBDD351AE3}" name="Date" dataDxfId="28" totalsRowDxfId="27"/>
    <tableColumn id="3" xr3:uid="{0DF36644-AC71-4E88-A711-5B812BEE2C9D}" name="Customer ID"/>
    <tableColumn id="4" xr3:uid="{3A28A6F7-4629-4BE3-B44F-F8ECCDFEB7C7}" name="Gender"/>
    <tableColumn id="5" xr3:uid="{3FD1AB09-92B8-4AC4-8C10-0716EE10B09F}" name="Age"/>
    <tableColumn id="6" xr3:uid="{631B56B9-829B-4AFB-95EF-C86D6B7CA3A0}" name="Product Category" totalsRowFunction="custom">
      <totalsRowFormula>COUNTA(F2:F201)</totalsRowFormula>
    </tableColumn>
    <tableColumn id="7" xr3:uid="{5CA2B907-A473-448D-AAE3-B8DB60A1C041}" name="Quantity"/>
    <tableColumn id="8" xr3:uid="{F4EB397D-D02F-4356-A6CE-A1142B7E5D1B}" name="Price per Unit" dataDxfId="26" totalsRowDxfId="25" dataCellStyle="Currency" totalsRowCellStyle="Currency"/>
    <tableColumn id="9" xr3:uid="{E472CEDF-9B0D-4AB6-824E-91D962FD4444}" name="Total Amount" totalsRowFunction="custom" dataDxfId="24" totalsRowDxfId="23" dataCellStyle="Currency" totalsRowCellStyle="Currency">
      <totalsRowFormula>SUM(I2:I201)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BB2904-220E-4508-9E0B-B62C648A6B36}" name="_commissionref" displayName="_commissionref" ref="H1:I5" totalsRowShown="0" headerRowDxfId="22" headerRowCellStyle="Currency">
  <autoFilter ref="H1:I5" xr:uid="{C8BB2904-220E-4508-9E0B-B62C648A6B36}"/>
  <tableColumns count="2">
    <tableColumn id="1" xr3:uid="{67AE07B1-489B-4576-9CC9-721612F5F31C}" name="Minimum Sales" dataDxfId="21" dataCellStyle="Currency"/>
    <tableColumn id="2" xr3:uid="{FBEB6A44-FFB7-4F58-8E4E-B7031BFD3EF7}" name="Commission Rate" dataDxfId="20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CC3142-F56D-49D1-B1F5-4FAD50DBEAB6}" name="_commissionpay" displayName="_commissionpay" ref="A1:F201" totalsRowShown="0" headerRowDxfId="19">
  <autoFilter ref="A1:F201" xr:uid="{C3CC3142-F56D-49D1-B1F5-4FAD50DBEAB6}"/>
  <tableColumns count="6">
    <tableColumn id="1" xr3:uid="{9E9BEDC3-942D-4A8B-B863-00B6BB38892F}" name="Transaction ID"/>
    <tableColumn id="2" xr3:uid="{B489EADD-7A39-46BB-A7A6-2F09A434044F}" name="Product Category"/>
    <tableColumn id="3" xr3:uid="{7CCC29F9-138C-4473-A418-B2B2A95A93DA}" name="Quantity"/>
    <tableColumn id="4" xr3:uid="{3E6CE9ED-2C8D-4EE6-B07B-55546FB7A596}" name="Total Amount" dataDxfId="18" dataCellStyle="Currency"/>
    <tableColumn id="5" xr3:uid="{19B80DC0-6DE9-48F8-8BE0-E3329D990A81}" name="Commission Rate" dataDxfId="17" dataCellStyle="Percent">
      <calculatedColumnFormula>_xlfn.XLOOKUP(D2,H$2:H$5,I$2:I$5,0,-1)</calculatedColumnFormula>
    </tableColumn>
    <tableColumn id="6" xr3:uid="{AC822C9F-DF8B-485F-A68B-80B917E0AF6A}" name="Commission Payout" dataDxfId="16">
      <calculatedColumnFormula>D2*E2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5C28E-1033-41B2-BBB4-34F93E3DC02A}" name="_productorders" displayName="_productorders" ref="A1:G4" totalsRowShown="0" headerRowDxfId="15">
  <autoFilter ref="A1:G4" xr:uid="{7385C28E-1033-41B2-BBB4-34F93E3DC02A}"/>
  <tableColumns count="7">
    <tableColumn id="1" xr3:uid="{EDF56C80-1094-431E-B3EA-A94E056D71A4}" name="Product Category"/>
    <tableColumn id="2" xr3:uid="{BFA808BE-FDE6-4A9F-9676-88C5E0BBD730}" name="Total Revenue" dataDxfId="14" dataCellStyle="Currency">
      <calculatedColumnFormula>SUMIFS('Raw Data'!I:I,'Raw Data'!F:F,A2)</calculatedColumnFormula>
    </tableColumn>
    <tableColumn id="3" xr3:uid="{2C59ACAE-9D79-422D-9007-00BE5D8A09B9}" name="Total Orders">
      <calculatedColumnFormula>COUNTIF('Raw Data'!F:F,'Summary Tables'!A2)</calculatedColumnFormula>
    </tableColumn>
    <tableColumn id="8" xr3:uid="{21654061-59E4-47C9-9D6B-CD6A5E1D2700}" name="Male orders" dataDxfId="13">
      <calculatedColumnFormula>COUNTIFS('Raw Data'!D:D,'Summary Tables'!A$12,'Raw Data'!F:F,_productorders[[#This Row],[Product Category]])</calculatedColumnFormula>
    </tableColumn>
    <tableColumn id="7" xr3:uid="{7DA11DC3-3D96-4D91-A124-6EA67C50BDF1}" name="Female orders" dataDxfId="12">
      <calculatedColumnFormula>COUNTIFS('Raw Data'!D:D,'Summary Tables'!A$13,'Raw Data'!F:F,_productorders[[#This Row],[Product Category]])</calculatedColumnFormula>
    </tableColumn>
    <tableColumn id="4" xr3:uid="{6379A92A-1F04-497F-A128-00964440DF3F}" name="Average Order Value" dataDxfId="11">
      <calculatedColumnFormula>_productorders[[#This Row],[Total Revenue]]/_productorders[[#This Row],[Total Orders]]</calculatedColumnFormula>
    </tableColumn>
    <tableColumn id="9" xr3:uid="{61B8F742-39F5-48B9-A657-BC87153A18E4}" name="Commission" dataDxfId="10">
      <calculatedColumnFormula>SUMIFS(Commission!F:F,Commission!B:B,_productorders[[#This Row],[Product Category]])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EC35A0-A7F6-474F-97F7-B194DFF34C36}" name="_genderwise" displayName="_genderwise" ref="A11:G13" totalsRowShown="0">
  <autoFilter ref="A11:G13" xr:uid="{7AEC35A0-A7F6-474F-97F7-B194DFF34C36}"/>
  <tableColumns count="7">
    <tableColumn id="1" xr3:uid="{22C4F73D-E3DF-4F7C-8F50-6EE0456AA789}" name="Gender"/>
    <tableColumn id="2" xr3:uid="{A3DFF365-887D-40C0-975E-CB62AA833894}" name="Total Orders">
      <calculatedColumnFormula>COUNTIF('Raw Data'!D:D,'Summary Tables'!A12)</calculatedColumnFormula>
    </tableColumn>
    <tableColumn id="6" xr3:uid="{134A6D08-8B4B-4E24-AEA5-534561F58587}" name="Clothing" dataDxfId="9">
      <calculatedColumnFormula>COUNTIFS('Raw Data'!D:D,_genderwise[[#This Row],[Gender]],'Raw Data'!F:F,_genderwise[[#Headers],[Clothing]])</calculatedColumnFormula>
    </tableColumn>
    <tableColumn id="5" xr3:uid="{EEC3655D-5EB0-46AD-99CD-0597B9153611}" name="Beauty" dataDxfId="8">
      <calculatedColumnFormula>COUNTIFS('Raw Data'!D:D,_genderwise[[#This Row],[Gender]],'Raw Data'!F:F,_genderwise[[#Headers],[Beauty]])</calculatedColumnFormula>
    </tableColumn>
    <tableColumn id="7" xr3:uid="{67A0D37C-0264-496F-9E2F-A835E6B8634F}" name="Electronics" dataDxfId="7">
      <calculatedColumnFormula>COUNTIFS('Raw Data'!D:D,_genderwise[[#This Row],[Gender]],'Raw Data'!F:F,_genderwise[[#Headers],[Electronics]])</calculatedColumnFormula>
    </tableColumn>
    <tableColumn id="3" xr3:uid="{F1A0375F-F950-4823-8077-DBD457BFD657}" name="Total Sales" dataDxfId="6" dataCellStyle="Currency">
      <calculatedColumnFormula>SUMIFS('Raw Data'!I:I,'Raw Data'!D:D,'Summary Tables'!A12)</calculatedColumnFormula>
    </tableColumn>
    <tableColumn id="4" xr3:uid="{7D864817-7C61-48E6-937B-1A37E45EB9A0}" name="Average Spending" dataDxfId="5">
      <calculatedColumnFormula>F12/B12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842618-0757-4184-93C5-A826107741DB}" name="_commissionsummary" displayName="_commissionsummary" ref="A6:B9" totalsRowShown="0" headerRowDxfId="0">
  <autoFilter ref="A6:B9" xr:uid="{39842618-0757-4184-93C5-A826107741DB}"/>
  <tableColumns count="2">
    <tableColumn id="1" xr3:uid="{BE16FF4F-9933-4130-9A33-D248699B0D9B}" name="Metric"/>
    <tableColumn id="2" xr3:uid="{2682C7C0-3712-4815-91DF-A37296D90D35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0C8D0F-D7E2-4066-B24A-4523C95C4075}" name="_agesummary" displayName="_agesummary" ref="A15:D18" totalsRowShown="0" headerRowDxfId="4">
  <autoFilter ref="A15:D18" xr:uid="{400C8D0F-D7E2-4066-B24A-4523C95C4075}"/>
  <tableColumns count="4">
    <tableColumn id="1" xr3:uid="{B7716385-6E45-4495-94AE-205CB959679F}" name="Age Tier"/>
    <tableColumn id="2" xr3:uid="{A5540210-62D7-4590-9FFA-EB12C56D9B12}" name="Total Orders" dataDxfId="3" dataCellStyle="Currency"/>
    <tableColumn id="3" xr3:uid="{1D6AB012-8F0E-4961-8ED6-9568B9249F1E}" name="Total Sales" dataDxfId="2" dataCellStyle="Currency"/>
    <tableColumn id="4" xr3:uid="{C6E87B8B-E5EC-43AF-9544-33EFA4B01CA1}" name="Average Spending" dataDxfId="1">
      <calculatedColumnFormula>C16/B16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38F8-2BBE-453B-891F-70238FE44008}">
  <dimension ref="A1:I202"/>
  <sheetViews>
    <sheetView tabSelected="1" workbookViewId="0">
      <selection activeCell="P5" sqref="P5"/>
    </sheetView>
  </sheetViews>
  <sheetFormatPr defaultRowHeight="15" x14ac:dyDescent="0.25"/>
  <cols>
    <col min="1" max="1" width="18.5703125" style="6" bestFit="1" customWidth="1"/>
    <col min="2" max="2" width="12.5703125" style="1" customWidth="1"/>
    <col min="3" max="3" width="17" bestFit="1" customWidth="1"/>
    <col min="4" max="4" width="12.5703125" customWidth="1"/>
    <col min="5" max="5" width="9.7109375" customWidth="1"/>
    <col min="6" max="6" width="21.28515625" bestFit="1" customWidth="1"/>
    <col min="7" max="7" width="13.28515625" bestFit="1" customWidth="1"/>
    <col min="8" max="8" width="18.28515625" style="4" bestFit="1" customWidth="1"/>
    <col min="9" max="9" width="18.5703125" style="4" customWidth="1"/>
  </cols>
  <sheetData>
    <row r="1" spans="1:9" ht="29.25" customHeight="1" x14ac:dyDescent="0.25">
      <c r="A1" s="7" t="s">
        <v>0</v>
      </c>
      <c r="B1" s="12" t="s">
        <v>1</v>
      </c>
      <c r="C1" s="7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13" t="s">
        <v>7</v>
      </c>
      <c r="I1" s="13" t="s">
        <v>8</v>
      </c>
    </row>
    <row r="2" spans="1:9" x14ac:dyDescent="0.25">
      <c r="A2" s="6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4">
        <v>50</v>
      </c>
      <c r="I2" s="4">
        <v>150</v>
      </c>
    </row>
    <row r="3" spans="1:9" x14ac:dyDescent="0.25">
      <c r="A3" s="6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4">
        <v>500</v>
      </c>
      <c r="I3" s="4">
        <v>1000</v>
      </c>
    </row>
    <row r="4" spans="1:9" x14ac:dyDescent="0.25">
      <c r="A4" s="6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4">
        <v>30</v>
      </c>
      <c r="I4" s="4">
        <v>30</v>
      </c>
    </row>
    <row r="5" spans="1:9" x14ac:dyDescent="0.25">
      <c r="A5" s="6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4">
        <v>500</v>
      </c>
      <c r="I5" s="4">
        <v>500</v>
      </c>
    </row>
    <row r="6" spans="1:9" x14ac:dyDescent="0.25">
      <c r="A6" s="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4">
        <v>50</v>
      </c>
      <c r="I6" s="4">
        <v>100</v>
      </c>
    </row>
    <row r="7" spans="1:9" x14ac:dyDescent="0.25">
      <c r="A7" s="6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4">
        <v>30</v>
      </c>
      <c r="I7" s="4">
        <v>30</v>
      </c>
    </row>
    <row r="8" spans="1:9" x14ac:dyDescent="0.25">
      <c r="A8" s="6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4">
        <v>25</v>
      </c>
      <c r="I8" s="4">
        <v>50</v>
      </c>
    </row>
    <row r="9" spans="1:9" x14ac:dyDescent="0.25">
      <c r="A9" s="6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4">
        <v>25</v>
      </c>
      <c r="I9" s="4">
        <v>100</v>
      </c>
    </row>
    <row r="10" spans="1:9" x14ac:dyDescent="0.25">
      <c r="A10" s="6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4">
        <v>300</v>
      </c>
      <c r="I10" s="4">
        <v>600</v>
      </c>
    </row>
    <row r="11" spans="1:9" x14ac:dyDescent="0.25">
      <c r="A11" s="6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4">
        <v>50</v>
      </c>
      <c r="I11" s="4">
        <v>200</v>
      </c>
    </row>
    <row r="12" spans="1:9" x14ac:dyDescent="0.25">
      <c r="A12" s="6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4">
        <v>50</v>
      </c>
      <c r="I12" s="4">
        <v>100</v>
      </c>
    </row>
    <row r="13" spans="1:9" x14ac:dyDescent="0.25">
      <c r="A13" s="6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4">
        <v>25</v>
      </c>
      <c r="I13" s="4">
        <v>75</v>
      </c>
    </row>
    <row r="14" spans="1:9" x14ac:dyDescent="0.25">
      <c r="A14" s="6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4">
        <v>500</v>
      </c>
      <c r="I14" s="4">
        <v>1500</v>
      </c>
    </row>
    <row r="15" spans="1:9" x14ac:dyDescent="0.25">
      <c r="A15" s="6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4">
        <v>30</v>
      </c>
      <c r="I15" s="4">
        <v>120</v>
      </c>
    </row>
    <row r="16" spans="1:9" x14ac:dyDescent="0.25">
      <c r="A16" s="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4">
        <v>500</v>
      </c>
      <c r="I16" s="4">
        <v>2000</v>
      </c>
    </row>
    <row r="17" spans="1:9" x14ac:dyDescent="0.25">
      <c r="A17" s="6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4">
        <v>500</v>
      </c>
      <c r="I17" s="4">
        <v>1500</v>
      </c>
    </row>
    <row r="18" spans="1:9" x14ac:dyDescent="0.25">
      <c r="A18" s="6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4">
        <v>25</v>
      </c>
      <c r="I18" s="4">
        <v>100</v>
      </c>
    </row>
    <row r="19" spans="1:9" x14ac:dyDescent="0.25">
      <c r="A19" s="6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4">
        <v>25</v>
      </c>
      <c r="I19" s="4">
        <v>50</v>
      </c>
    </row>
    <row r="20" spans="1:9" x14ac:dyDescent="0.25">
      <c r="A20" s="6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4">
        <v>25</v>
      </c>
      <c r="I20" s="4">
        <v>50</v>
      </c>
    </row>
    <row r="21" spans="1:9" x14ac:dyDescent="0.25">
      <c r="A21" s="6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4">
        <v>300</v>
      </c>
      <c r="I21" s="4">
        <v>900</v>
      </c>
    </row>
    <row r="22" spans="1:9" x14ac:dyDescent="0.25">
      <c r="A22" s="6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4">
        <v>500</v>
      </c>
      <c r="I22" s="4">
        <v>500</v>
      </c>
    </row>
    <row r="23" spans="1:9" x14ac:dyDescent="0.25">
      <c r="A23" s="6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4">
        <v>50</v>
      </c>
      <c r="I23" s="4">
        <v>100</v>
      </c>
    </row>
    <row r="24" spans="1:9" x14ac:dyDescent="0.25">
      <c r="A24" s="6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4">
        <v>30</v>
      </c>
      <c r="I24" s="4">
        <v>120</v>
      </c>
    </row>
    <row r="25" spans="1:9" x14ac:dyDescent="0.25">
      <c r="A25" s="6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4">
        <v>300</v>
      </c>
      <c r="I25" s="4">
        <v>300</v>
      </c>
    </row>
    <row r="26" spans="1:9" x14ac:dyDescent="0.25">
      <c r="A26" s="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4">
        <v>50</v>
      </c>
      <c r="I26" s="4">
        <v>50</v>
      </c>
    </row>
    <row r="27" spans="1:9" x14ac:dyDescent="0.25">
      <c r="A27" s="6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4">
        <v>500</v>
      </c>
      <c r="I27" s="4">
        <v>1000</v>
      </c>
    </row>
    <row r="28" spans="1:9" x14ac:dyDescent="0.25">
      <c r="A28" s="6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4">
        <v>25</v>
      </c>
      <c r="I28" s="4">
        <v>50</v>
      </c>
    </row>
    <row r="29" spans="1:9" x14ac:dyDescent="0.25">
      <c r="A29" s="6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4">
        <v>500</v>
      </c>
      <c r="I29" s="4">
        <v>500</v>
      </c>
    </row>
    <row r="30" spans="1:9" x14ac:dyDescent="0.25">
      <c r="A30" s="6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4">
        <v>30</v>
      </c>
      <c r="I30" s="4">
        <v>30</v>
      </c>
    </row>
    <row r="31" spans="1:9" x14ac:dyDescent="0.25">
      <c r="A31" s="6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4">
        <v>300</v>
      </c>
      <c r="I31" s="4">
        <v>900</v>
      </c>
    </row>
    <row r="32" spans="1:9" x14ac:dyDescent="0.25">
      <c r="A32" s="6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4">
        <v>300</v>
      </c>
      <c r="I32" s="4">
        <v>1200</v>
      </c>
    </row>
    <row r="33" spans="1:9" x14ac:dyDescent="0.25">
      <c r="A33" s="6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4">
        <v>30</v>
      </c>
      <c r="I33" s="4">
        <v>90</v>
      </c>
    </row>
    <row r="34" spans="1:9" x14ac:dyDescent="0.25">
      <c r="A34" s="6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4">
        <v>50</v>
      </c>
      <c r="I34" s="4">
        <v>100</v>
      </c>
    </row>
    <row r="35" spans="1:9" x14ac:dyDescent="0.25">
      <c r="A35" s="6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4">
        <v>50</v>
      </c>
      <c r="I35" s="4">
        <v>150</v>
      </c>
    </row>
    <row r="36" spans="1:9" x14ac:dyDescent="0.25">
      <c r="A36" s="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4">
        <v>300</v>
      </c>
      <c r="I36" s="4">
        <v>900</v>
      </c>
    </row>
    <row r="37" spans="1:9" x14ac:dyDescent="0.25">
      <c r="A37" s="6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4">
        <v>300</v>
      </c>
      <c r="I37" s="4">
        <v>900</v>
      </c>
    </row>
    <row r="38" spans="1:9" x14ac:dyDescent="0.25">
      <c r="A38" s="6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4">
        <v>25</v>
      </c>
      <c r="I38" s="4">
        <v>75</v>
      </c>
    </row>
    <row r="39" spans="1:9" x14ac:dyDescent="0.25">
      <c r="A39" s="6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4">
        <v>50</v>
      </c>
      <c r="I39" s="4">
        <v>200</v>
      </c>
    </row>
    <row r="40" spans="1:9" x14ac:dyDescent="0.25">
      <c r="A40" s="6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4">
        <v>30</v>
      </c>
      <c r="I40" s="4">
        <v>120</v>
      </c>
    </row>
    <row r="41" spans="1:9" x14ac:dyDescent="0.25">
      <c r="A41" s="6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4">
        <v>50</v>
      </c>
      <c r="I41" s="4">
        <v>50</v>
      </c>
    </row>
    <row r="42" spans="1:9" x14ac:dyDescent="0.25">
      <c r="A42" s="6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4">
        <v>25</v>
      </c>
      <c r="I42" s="4">
        <v>50</v>
      </c>
    </row>
    <row r="43" spans="1:9" x14ac:dyDescent="0.25">
      <c r="A43" s="6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4">
        <v>300</v>
      </c>
      <c r="I43" s="4">
        <v>900</v>
      </c>
    </row>
    <row r="44" spans="1:9" x14ac:dyDescent="0.25">
      <c r="A44" s="6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4">
        <v>300</v>
      </c>
      <c r="I44" s="4">
        <v>300</v>
      </c>
    </row>
    <row r="45" spans="1:9" x14ac:dyDescent="0.25">
      <c r="A45" s="6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4">
        <v>25</v>
      </c>
      <c r="I45" s="4">
        <v>25</v>
      </c>
    </row>
    <row r="46" spans="1:9" x14ac:dyDescent="0.25">
      <c r="A46" s="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4">
        <v>30</v>
      </c>
      <c r="I46" s="4">
        <v>30</v>
      </c>
    </row>
    <row r="47" spans="1:9" x14ac:dyDescent="0.25">
      <c r="A47" s="6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4">
        <v>300</v>
      </c>
      <c r="I47" s="4">
        <v>1200</v>
      </c>
    </row>
    <row r="48" spans="1:9" x14ac:dyDescent="0.25">
      <c r="A48" s="6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4">
        <v>500</v>
      </c>
      <c r="I48" s="4">
        <v>1500</v>
      </c>
    </row>
    <row r="49" spans="1:9" x14ac:dyDescent="0.25">
      <c r="A49" s="6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4">
        <v>300</v>
      </c>
      <c r="I49" s="4">
        <v>900</v>
      </c>
    </row>
    <row r="50" spans="1:9" x14ac:dyDescent="0.25">
      <c r="A50" s="6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4">
        <v>500</v>
      </c>
      <c r="I50" s="4">
        <v>1000</v>
      </c>
    </row>
    <row r="51" spans="1:9" x14ac:dyDescent="0.25">
      <c r="A51" s="6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4">
        <v>25</v>
      </c>
      <c r="I51" s="4">
        <v>75</v>
      </c>
    </row>
    <row r="52" spans="1:9" x14ac:dyDescent="0.25">
      <c r="A52" s="6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4">
        <v>25</v>
      </c>
      <c r="I52" s="4">
        <v>75</v>
      </c>
    </row>
    <row r="53" spans="1:9" x14ac:dyDescent="0.25">
      <c r="A53" s="6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4">
        <v>300</v>
      </c>
      <c r="I53" s="4">
        <v>300</v>
      </c>
    </row>
    <row r="54" spans="1:9" x14ac:dyDescent="0.25">
      <c r="A54" s="6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4">
        <v>50</v>
      </c>
      <c r="I54" s="4">
        <v>100</v>
      </c>
    </row>
    <row r="55" spans="1:9" x14ac:dyDescent="0.25">
      <c r="A55" s="6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4">
        <v>500</v>
      </c>
      <c r="I55" s="4">
        <v>1500</v>
      </c>
    </row>
    <row r="56" spans="1:9" x14ac:dyDescent="0.25">
      <c r="A56" s="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4">
        <v>30</v>
      </c>
      <c r="I56" s="4">
        <v>120</v>
      </c>
    </row>
    <row r="57" spans="1:9" x14ac:dyDescent="0.25">
      <c r="A57" s="6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4">
        <v>300</v>
      </c>
      <c r="I57" s="4">
        <v>900</v>
      </c>
    </row>
    <row r="58" spans="1:9" x14ac:dyDescent="0.25">
      <c r="A58" s="6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4">
        <v>30</v>
      </c>
      <c r="I58" s="4">
        <v>30</v>
      </c>
    </row>
    <row r="59" spans="1:9" x14ac:dyDescent="0.25">
      <c r="A59" s="6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4">
        <v>300</v>
      </c>
      <c r="I59" s="4">
        <v>1200</v>
      </c>
    </row>
    <row r="60" spans="1:9" x14ac:dyDescent="0.25">
      <c r="A60" s="6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4">
        <v>50</v>
      </c>
      <c r="I60" s="4">
        <v>50</v>
      </c>
    </row>
    <row r="61" spans="1:9" x14ac:dyDescent="0.25">
      <c r="A61" s="6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4">
        <v>50</v>
      </c>
      <c r="I61" s="4">
        <v>150</v>
      </c>
    </row>
    <row r="62" spans="1:9" x14ac:dyDescent="0.25">
      <c r="A62" s="6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4">
        <v>50</v>
      </c>
      <c r="I62" s="4">
        <v>200</v>
      </c>
    </row>
    <row r="63" spans="1:9" x14ac:dyDescent="0.25">
      <c r="A63" s="6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4">
        <v>50</v>
      </c>
      <c r="I63" s="4">
        <v>100</v>
      </c>
    </row>
    <row r="64" spans="1:9" x14ac:dyDescent="0.25">
      <c r="A64" s="6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4">
        <v>25</v>
      </c>
      <c r="I64" s="4">
        <v>50</v>
      </c>
    </row>
    <row r="65" spans="1:9" x14ac:dyDescent="0.25">
      <c r="A65" s="6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4">
        <v>25</v>
      </c>
      <c r="I65" s="4">
        <v>100</v>
      </c>
    </row>
    <row r="66" spans="1:9" x14ac:dyDescent="0.25">
      <c r="A66" s="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4">
        <v>500</v>
      </c>
      <c r="I66" s="4">
        <v>2000</v>
      </c>
    </row>
    <row r="67" spans="1:9" x14ac:dyDescent="0.25">
      <c r="A67" s="6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4">
        <v>30</v>
      </c>
      <c r="I67" s="4">
        <v>30</v>
      </c>
    </row>
    <row r="68" spans="1:9" x14ac:dyDescent="0.25">
      <c r="A68" s="6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4">
        <v>300</v>
      </c>
      <c r="I68" s="4">
        <v>1200</v>
      </c>
    </row>
    <row r="69" spans="1:9" x14ac:dyDescent="0.25">
      <c r="A69" s="6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4">
        <v>300</v>
      </c>
      <c r="I69" s="4">
        <v>300</v>
      </c>
    </row>
    <row r="70" spans="1:9" x14ac:dyDescent="0.25">
      <c r="A70" s="6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4">
        <v>25</v>
      </c>
      <c r="I70" s="4">
        <v>75</v>
      </c>
    </row>
    <row r="71" spans="1:9" x14ac:dyDescent="0.25">
      <c r="A71" s="6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4">
        <v>300</v>
      </c>
      <c r="I71" s="4">
        <v>300</v>
      </c>
    </row>
    <row r="72" spans="1:9" x14ac:dyDescent="0.25">
      <c r="A72" s="6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4">
        <v>25</v>
      </c>
      <c r="I72" s="4">
        <v>100</v>
      </c>
    </row>
    <row r="73" spans="1:9" x14ac:dyDescent="0.25">
      <c r="A73" s="6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4">
        <v>500</v>
      </c>
      <c r="I73" s="4">
        <v>2000</v>
      </c>
    </row>
    <row r="74" spans="1:9" x14ac:dyDescent="0.25">
      <c r="A74" s="6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4">
        <v>30</v>
      </c>
      <c r="I74" s="4">
        <v>90</v>
      </c>
    </row>
    <row r="75" spans="1:9" x14ac:dyDescent="0.25">
      <c r="A75" s="6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4">
        <v>500</v>
      </c>
      <c r="I75" s="4">
        <v>2000</v>
      </c>
    </row>
    <row r="76" spans="1:9" x14ac:dyDescent="0.25">
      <c r="A76" s="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4">
        <v>50</v>
      </c>
      <c r="I76" s="4">
        <v>200</v>
      </c>
    </row>
    <row r="77" spans="1:9" x14ac:dyDescent="0.25">
      <c r="A77" s="6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4">
        <v>50</v>
      </c>
      <c r="I77" s="4">
        <v>100</v>
      </c>
    </row>
    <row r="78" spans="1:9" x14ac:dyDescent="0.25">
      <c r="A78" s="6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4">
        <v>50</v>
      </c>
      <c r="I78" s="4">
        <v>100</v>
      </c>
    </row>
    <row r="79" spans="1:9" x14ac:dyDescent="0.25">
      <c r="A79" s="6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4">
        <v>500</v>
      </c>
      <c r="I79" s="4">
        <v>1500</v>
      </c>
    </row>
    <row r="80" spans="1:9" x14ac:dyDescent="0.25">
      <c r="A80" s="6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4">
        <v>300</v>
      </c>
      <c r="I80" s="4">
        <v>300</v>
      </c>
    </row>
    <row r="81" spans="1:9" x14ac:dyDescent="0.25">
      <c r="A81" s="6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4">
        <v>30</v>
      </c>
      <c r="I81" s="4">
        <v>60</v>
      </c>
    </row>
    <row r="82" spans="1:9" x14ac:dyDescent="0.25">
      <c r="A82" s="6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4">
        <v>50</v>
      </c>
      <c r="I82" s="4">
        <v>50</v>
      </c>
    </row>
    <row r="83" spans="1:9" x14ac:dyDescent="0.25">
      <c r="A83" s="6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4">
        <v>50</v>
      </c>
      <c r="I83" s="4">
        <v>200</v>
      </c>
    </row>
    <row r="84" spans="1:9" x14ac:dyDescent="0.25">
      <c r="A84" s="6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4">
        <v>50</v>
      </c>
      <c r="I84" s="4">
        <v>100</v>
      </c>
    </row>
    <row r="85" spans="1:9" x14ac:dyDescent="0.25">
      <c r="A85" s="6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4">
        <v>30</v>
      </c>
      <c r="I85" s="4">
        <v>90</v>
      </c>
    </row>
    <row r="86" spans="1:9" x14ac:dyDescent="0.25">
      <c r="A86" s="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4">
        <v>50</v>
      </c>
      <c r="I86" s="4">
        <v>150</v>
      </c>
    </row>
    <row r="87" spans="1:9" x14ac:dyDescent="0.25">
      <c r="A87" s="6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4">
        <v>30</v>
      </c>
      <c r="I87" s="4">
        <v>90</v>
      </c>
    </row>
    <row r="88" spans="1:9" x14ac:dyDescent="0.25">
      <c r="A88" s="6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4">
        <v>50</v>
      </c>
      <c r="I88" s="4">
        <v>100</v>
      </c>
    </row>
    <row r="89" spans="1:9" x14ac:dyDescent="0.25">
      <c r="A89" s="6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4">
        <v>500</v>
      </c>
      <c r="I89" s="4">
        <v>500</v>
      </c>
    </row>
    <row r="90" spans="1:9" x14ac:dyDescent="0.25">
      <c r="A90" s="6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4">
        <v>500</v>
      </c>
      <c r="I90" s="4">
        <v>2000</v>
      </c>
    </row>
    <row r="91" spans="1:9" x14ac:dyDescent="0.25">
      <c r="A91" s="6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4">
        <v>30</v>
      </c>
      <c r="I91" s="4">
        <v>30</v>
      </c>
    </row>
    <row r="92" spans="1:9" x14ac:dyDescent="0.25">
      <c r="A92" s="6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4">
        <v>500</v>
      </c>
      <c r="I92" s="4">
        <v>500</v>
      </c>
    </row>
    <row r="93" spans="1:9" x14ac:dyDescent="0.25">
      <c r="A93" s="6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4">
        <v>30</v>
      </c>
      <c r="I93" s="4">
        <v>120</v>
      </c>
    </row>
    <row r="94" spans="1:9" x14ac:dyDescent="0.25">
      <c r="A94" s="6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4">
        <v>500</v>
      </c>
      <c r="I94" s="4">
        <v>2000</v>
      </c>
    </row>
    <row r="95" spans="1:9" x14ac:dyDescent="0.25">
      <c r="A95" s="6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4">
        <v>500</v>
      </c>
      <c r="I95" s="4">
        <v>1000</v>
      </c>
    </row>
    <row r="96" spans="1:9" x14ac:dyDescent="0.25">
      <c r="A96" s="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4">
        <v>30</v>
      </c>
      <c r="I96" s="4">
        <v>60</v>
      </c>
    </row>
    <row r="97" spans="1:9" x14ac:dyDescent="0.25">
      <c r="A97" s="6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4">
        <v>300</v>
      </c>
      <c r="I97" s="4">
        <v>600</v>
      </c>
    </row>
    <row r="98" spans="1:9" x14ac:dyDescent="0.25">
      <c r="A98" s="6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4">
        <v>500</v>
      </c>
      <c r="I98" s="4">
        <v>1000</v>
      </c>
    </row>
    <row r="99" spans="1:9" x14ac:dyDescent="0.25">
      <c r="A99" s="6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4">
        <v>50</v>
      </c>
      <c r="I99" s="4">
        <v>100</v>
      </c>
    </row>
    <row r="100" spans="1:9" x14ac:dyDescent="0.25">
      <c r="A100" s="6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4">
        <v>300</v>
      </c>
      <c r="I100" s="4">
        <v>1200</v>
      </c>
    </row>
    <row r="101" spans="1:9" x14ac:dyDescent="0.25">
      <c r="A101" s="6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4">
        <v>30</v>
      </c>
      <c r="I101" s="4">
        <v>30</v>
      </c>
    </row>
    <row r="102" spans="1:9" x14ac:dyDescent="0.25">
      <c r="A102" s="6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4">
        <v>300</v>
      </c>
      <c r="I102" s="4">
        <v>600</v>
      </c>
    </row>
    <row r="103" spans="1:9" x14ac:dyDescent="0.25">
      <c r="A103" s="6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4">
        <v>25</v>
      </c>
      <c r="I103" s="4">
        <v>50</v>
      </c>
    </row>
    <row r="104" spans="1:9" x14ac:dyDescent="0.25">
      <c r="A104" s="6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4">
        <v>25</v>
      </c>
      <c r="I104" s="4">
        <v>25</v>
      </c>
    </row>
    <row r="105" spans="1:9" x14ac:dyDescent="0.25">
      <c r="A105" s="6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4">
        <v>500</v>
      </c>
      <c r="I105" s="4">
        <v>1000</v>
      </c>
    </row>
    <row r="106" spans="1:9" x14ac:dyDescent="0.25">
      <c r="A106" s="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4">
        <v>500</v>
      </c>
      <c r="I106" s="4">
        <v>500</v>
      </c>
    </row>
    <row r="107" spans="1:9" x14ac:dyDescent="0.25">
      <c r="A107" s="6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4">
        <v>50</v>
      </c>
      <c r="I107" s="4">
        <v>50</v>
      </c>
    </row>
    <row r="108" spans="1:9" x14ac:dyDescent="0.25">
      <c r="A108" s="6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4">
        <v>300</v>
      </c>
      <c r="I108" s="4">
        <v>1200</v>
      </c>
    </row>
    <row r="109" spans="1:9" x14ac:dyDescent="0.25">
      <c r="A109" s="6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4">
        <v>25</v>
      </c>
      <c r="I109" s="4">
        <v>75</v>
      </c>
    </row>
    <row r="110" spans="1:9" x14ac:dyDescent="0.25">
      <c r="A110" s="6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4">
        <v>500</v>
      </c>
      <c r="I110" s="4">
        <v>2000</v>
      </c>
    </row>
    <row r="111" spans="1:9" x14ac:dyDescent="0.25">
      <c r="A111" s="6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4">
        <v>300</v>
      </c>
      <c r="I111" s="4">
        <v>900</v>
      </c>
    </row>
    <row r="112" spans="1:9" x14ac:dyDescent="0.25">
      <c r="A112" s="6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4">
        <v>500</v>
      </c>
      <c r="I112" s="4">
        <v>1500</v>
      </c>
    </row>
    <row r="113" spans="1:9" x14ac:dyDescent="0.25">
      <c r="A113" s="6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4">
        <v>500</v>
      </c>
      <c r="I113" s="4">
        <v>1500</v>
      </c>
    </row>
    <row r="114" spans="1:9" x14ac:dyDescent="0.25">
      <c r="A114" s="6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4">
        <v>25</v>
      </c>
      <c r="I114" s="4">
        <v>50</v>
      </c>
    </row>
    <row r="115" spans="1:9" x14ac:dyDescent="0.25">
      <c r="A115" s="6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4">
        <v>25</v>
      </c>
      <c r="I115" s="4">
        <v>100</v>
      </c>
    </row>
    <row r="116" spans="1:9" x14ac:dyDescent="0.25">
      <c r="A116" s="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4">
        <v>500</v>
      </c>
      <c r="I116" s="4">
        <v>1500</v>
      </c>
    </row>
    <row r="117" spans="1:9" x14ac:dyDescent="0.25">
      <c r="A117" s="6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4">
        <v>30</v>
      </c>
      <c r="I117" s="4">
        <v>30</v>
      </c>
    </row>
    <row r="118" spans="1:9" x14ac:dyDescent="0.25">
      <c r="A118" s="6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4">
        <v>500</v>
      </c>
      <c r="I118" s="4">
        <v>1000</v>
      </c>
    </row>
    <row r="119" spans="1:9" x14ac:dyDescent="0.25">
      <c r="A119" s="6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4">
        <v>500</v>
      </c>
      <c r="I119" s="4">
        <v>2000</v>
      </c>
    </row>
    <row r="120" spans="1:9" x14ac:dyDescent="0.25">
      <c r="A120" s="6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4">
        <v>50</v>
      </c>
      <c r="I120" s="4">
        <v>150</v>
      </c>
    </row>
    <row r="121" spans="1:9" x14ac:dyDescent="0.25">
      <c r="A121" s="6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4">
        <v>50</v>
      </c>
      <c r="I121" s="4">
        <v>50</v>
      </c>
    </row>
    <row r="122" spans="1:9" x14ac:dyDescent="0.25">
      <c r="A122" s="6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4">
        <v>50</v>
      </c>
      <c r="I122" s="4">
        <v>200</v>
      </c>
    </row>
    <row r="123" spans="1:9" x14ac:dyDescent="0.25">
      <c r="A123" s="6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4">
        <v>30</v>
      </c>
      <c r="I123" s="4">
        <v>120</v>
      </c>
    </row>
    <row r="124" spans="1:9" x14ac:dyDescent="0.25">
      <c r="A124" s="6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4">
        <v>30</v>
      </c>
      <c r="I124" s="4">
        <v>60</v>
      </c>
    </row>
    <row r="125" spans="1:9" x14ac:dyDescent="0.25">
      <c r="A125" s="6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4">
        <v>500</v>
      </c>
      <c r="I125" s="4">
        <v>2000</v>
      </c>
    </row>
    <row r="126" spans="1:9" x14ac:dyDescent="0.25">
      <c r="A126" s="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4">
        <v>50</v>
      </c>
      <c r="I126" s="4">
        <v>100</v>
      </c>
    </row>
    <row r="127" spans="1:9" x14ac:dyDescent="0.25">
      <c r="A127" s="6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4">
        <v>30</v>
      </c>
      <c r="I127" s="4">
        <v>90</v>
      </c>
    </row>
    <row r="128" spans="1:9" x14ac:dyDescent="0.25">
      <c r="A128" s="6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4">
        <v>25</v>
      </c>
      <c r="I128" s="4">
        <v>50</v>
      </c>
    </row>
    <row r="129" spans="1:9" x14ac:dyDescent="0.25">
      <c r="A129" s="6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4">
        <v>500</v>
      </c>
      <c r="I129" s="4">
        <v>500</v>
      </c>
    </row>
    <row r="130" spans="1:9" x14ac:dyDescent="0.25">
      <c r="A130" s="6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4">
        <v>300</v>
      </c>
      <c r="I130" s="4">
        <v>600</v>
      </c>
    </row>
    <row r="131" spans="1:9" x14ac:dyDescent="0.25">
      <c r="A131" s="6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4">
        <v>500</v>
      </c>
      <c r="I131" s="4">
        <v>500</v>
      </c>
    </row>
    <row r="132" spans="1:9" x14ac:dyDescent="0.25">
      <c r="A132" s="6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4">
        <v>300</v>
      </c>
      <c r="I132" s="4">
        <v>600</v>
      </c>
    </row>
    <row r="133" spans="1:9" x14ac:dyDescent="0.25">
      <c r="A133" s="6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4">
        <v>50</v>
      </c>
      <c r="I133" s="4">
        <v>200</v>
      </c>
    </row>
    <row r="134" spans="1:9" x14ac:dyDescent="0.25">
      <c r="A134" s="6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4">
        <v>300</v>
      </c>
      <c r="I134" s="4">
        <v>900</v>
      </c>
    </row>
    <row r="135" spans="1:9" x14ac:dyDescent="0.25">
      <c r="A135" s="6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4">
        <v>50</v>
      </c>
      <c r="I135" s="4">
        <v>50</v>
      </c>
    </row>
    <row r="136" spans="1:9" x14ac:dyDescent="0.25">
      <c r="A136" s="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4">
        <v>25</v>
      </c>
      <c r="I136" s="4">
        <v>50</v>
      </c>
    </row>
    <row r="137" spans="1:9" x14ac:dyDescent="0.25">
      <c r="A137" s="6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4">
        <v>300</v>
      </c>
      <c r="I137" s="4">
        <v>600</v>
      </c>
    </row>
    <row r="138" spans="1:9" x14ac:dyDescent="0.25">
      <c r="A138" s="6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4">
        <v>500</v>
      </c>
      <c r="I138" s="4">
        <v>1000</v>
      </c>
    </row>
    <row r="139" spans="1:9" x14ac:dyDescent="0.25">
      <c r="A139" s="6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4">
        <v>50</v>
      </c>
      <c r="I139" s="4">
        <v>200</v>
      </c>
    </row>
    <row r="140" spans="1:9" x14ac:dyDescent="0.25">
      <c r="A140" s="6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4">
        <v>500</v>
      </c>
      <c r="I140" s="4">
        <v>2000</v>
      </c>
    </row>
    <row r="141" spans="1:9" x14ac:dyDescent="0.25">
      <c r="A141" s="6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4">
        <v>30</v>
      </c>
      <c r="I141" s="4">
        <v>30</v>
      </c>
    </row>
    <row r="142" spans="1:9" x14ac:dyDescent="0.25">
      <c r="A142" s="6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4">
        <v>50</v>
      </c>
      <c r="I142" s="4">
        <v>50</v>
      </c>
    </row>
    <row r="143" spans="1:9" x14ac:dyDescent="0.25">
      <c r="A143" s="6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4">
        <v>300</v>
      </c>
      <c r="I143" s="4">
        <v>1200</v>
      </c>
    </row>
    <row r="144" spans="1:9" x14ac:dyDescent="0.25">
      <c r="A144" s="6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4">
        <v>50</v>
      </c>
      <c r="I144" s="4">
        <v>50</v>
      </c>
    </row>
    <row r="145" spans="1:9" x14ac:dyDescent="0.25">
      <c r="A145" s="6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4">
        <v>500</v>
      </c>
      <c r="I145" s="4">
        <v>1500</v>
      </c>
    </row>
    <row r="146" spans="1:9" x14ac:dyDescent="0.25">
      <c r="A146" s="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4">
        <v>25</v>
      </c>
      <c r="I146" s="4">
        <v>75</v>
      </c>
    </row>
    <row r="147" spans="1:9" x14ac:dyDescent="0.25">
      <c r="A147" s="6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4">
        <v>50</v>
      </c>
      <c r="I147" s="4">
        <v>200</v>
      </c>
    </row>
    <row r="148" spans="1:9" x14ac:dyDescent="0.25">
      <c r="A148" s="6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4">
        <v>300</v>
      </c>
      <c r="I148" s="4">
        <v>300</v>
      </c>
    </row>
    <row r="149" spans="1:9" x14ac:dyDescent="0.25">
      <c r="A149" s="6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4">
        <v>30</v>
      </c>
      <c r="I149" s="4">
        <v>60</v>
      </c>
    </row>
    <row r="150" spans="1:9" x14ac:dyDescent="0.25">
      <c r="A150" s="6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4">
        <v>25</v>
      </c>
      <c r="I150" s="4">
        <v>75</v>
      </c>
    </row>
    <row r="151" spans="1:9" x14ac:dyDescent="0.25">
      <c r="A151" s="6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4">
        <v>30</v>
      </c>
      <c r="I151" s="4">
        <v>120</v>
      </c>
    </row>
    <row r="152" spans="1:9" x14ac:dyDescent="0.25">
      <c r="A152" s="6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4">
        <v>50</v>
      </c>
      <c r="I152" s="4">
        <v>50</v>
      </c>
    </row>
    <row r="153" spans="1:9" x14ac:dyDescent="0.25">
      <c r="A153" s="6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4">
        <v>500</v>
      </c>
      <c r="I153" s="4">
        <v>2000</v>
      </c>
    </row>
    <row r="154" spans="1:9" x14ac:dyDescent="0.25">
      <c r="A154" s="6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4">
        <v>500</v>
      </c>
      <c r="I154" s="4">
        <v>1000</v>
      </c>
    </row>
    <row r="155" spans="1:9" x14ac:dyDescent="0.25">
      <c r="A155" s="6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4">
        <v>300</v>
      </c>
      <c r="I155" s="4">
        <v>900</v>
      </c>
    </row>
    <row r="156" spans="1:9" x14ac:dyDescent="0.25">
      <c r="A156" s="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4">
        <v>500</v>
      </c>
      <c r="I156" s="4">
        <v>2000</v>
      </c>
    </row>
    <row r="157" spans="1:9" x14ac:dyDescent="0.25">
      <c r="A157" s="6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4">
        <v>25</v>
      </c>
      <c r="I157" s="4">
        <v>100</v>
      </c>
    </row>
    <row r="158" spans="1:9" x14ac:dyDescent="0.25">
      <c r="A158" s="6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4">
        <v>500</v>
      </c>
      <c r="I158" s="4">
        <v>2000</v>
      </c>
    </row>
    <row r="159" spans="1:9" x14ac:dyDescent="0.25">
      <c r="A159" s="6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4">
        <v>300</v>
      </c>
      <c r="I159" s="4">
        <v>600</v>
      </c>
    </row>
    <row r="160" spans="1:9" x14ac:dyDescent="0.25">
      <c r="A160" s="6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4">
        <v>50</v>
      </c>
      <c r="I160" s="4">
        <v>200</v>
      </c>
    </row>
    <row r="161" spans="1:9" x14ac:dyDescent="0.25">
      <c r="A161" s="6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4">
        <v>50</v>
      </c>
      <c r="I161" s="4">
        <v>100</v>
      </c>
    </row>
    <row r="162" spans="1:9" x14ac:dyDescent="0.25">
      <c r="A162" s="6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4">
        <v>500</v>
      </c>
      <c r="I162" s="4">
        <v>1000</v>
      </c>
    </row>
    <row r="163" spans="1:9" x14ac:dyDescent="0.25">
      <c r="A163" s="6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4">
        <v>30</v>
      </c>
      <c r="I163" s="4">
        <v>60</v>
      </c>
    </row>
    <row r="164" spans="1:9" x14ac:dyDescent="0.25">
      <c r="A164" s="6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4">
        <v>50</v>
      </c>
      <c r="I164" s="4">
        <v>150</v>
      </c>
    </row>
    <row r="165" spans="1:9" x14ac:dyDescent="0.25">
      <c r="A165" s="6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4">
        <v>500</v>
      </c>
      <c r="I165" s="4">
        <v>1500</v>
      </c>
    </row>
    <row r="166" spans="1:9" x14ac:dyDescent="0.25">
      <c r="A166" s="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4">
        <v>300</v>
      </c>
      <c r="I166" s="4">
        <v>1200</v>
      </c>
    </row>
    <row r="167" spans="1:9" x14ac:dyDescent="0.25">
      <c r="A167" s="6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4">
        <v>500</v>
      </c>
      <c r="I167" s="4">
        <v>2000</v>
      </c>
    </row>
    <row r="168" spans="1:9" x14ac:dyDescent="0.25">
      <c r="A168" s="6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4">
        <v>50</v>
      </c>
      <c r="I168" s="4">
        <v>150</v>
      </c>
    </row>
    <row r="169" spans="1:9" x14ac:dyDescent="0.25">
      <c r="A169" s="6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4">
        <v>300</v>
      </c>
      <c r="I169" s="4">
        <v>300</v>
      </c>
    </row>
    <row r="170" spans="1:9" x14ac:dyDescent="0.25">
      <c r="A170" s="6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4">
        <v>500</v>
      </c>
      <c r="I170" s="4">
        <v>1500</v>
      </c>
    </row>
    <row r="171" spans="1:9" x14ac:dyDescent="0.25">
      <c r="A171" s="6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4">
        <v>25</v>
      </c>
      <c r="I171" s="4">
        <v>50</v>
      </c>
    </row>
    <row r="172" spans="1:9" x14ac:dyDescent="0.25">
      <c r="A172" s="6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4">
        <v>300</v>
      </c>
      <c r="I172" s="4">
        <v>900</v>
      </c>
    </row>
    <row r="173" spans="1:9" x14ac:dyDescent="0.25">
      <c r="A173" s="6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4">
        <v>25</v>
      </c>
      <c r="I173" s="4">
        <v>50</v>
      </c>
    </row>
    <row r="174" spans="1:9" x14ac:dyDescent="0.25">
      <c r="A174" s="6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4">
        <v>30</v>
      </c>
      <c r="I174" s="4">
        <v>120</v>
      </c>
    </row>
    <row r="175" spans="1:9" x14ac:dyDescent="0.25">
      <c r="A175" s="6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4">
        <v>300</v>
      </c>
      <c r="I175" s="4">
        <v>300</v>
      </c>
    </row>
    <row r="176" spans="1:9" x14ac:dyDescent="0.25">
      <c r="A176" s="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4">
        <v>25</v>
      </c>
      <c r="I176" s="4">
        <v>100</v>
      </c>
    </row>
    <row r="177" spans="1:9" x14ac:dyDescent="0.25">
      <c r="A177" s="6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4">
        <v>50</v>
      </c>
      <c r="I177" s="4">
        <v>100</v>
      </c>
    </row>
    <row r="178" spans="1:9" x14ac:dyDescent="0.25">
      <c r="A178" s="6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4">
        <v>50</v>
      </c>
      <c r="I178" s="4">
        <v>100</v>
      </c>
    </row>
    <row r="179" spans="1:9" x14ac:dyDescent="0.25">
      <c r="A179" s="6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4">
        <v>30</v>
      </c>
      <c r="I179" s="4">
        <v>60</v>
      </c>
    </row>
    <row r="180" spans="1:9" x14ac:dyDescent="0.25">
      <c r="A180" s="6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4">
        <v>300</v>
      </c>
      <c r="I180" s="4">
        <v>300</v>
      </c>
    </row>
    <row r="181" spans="1:9" x14ac:dyDescent="0.25">
      <c r="A181" s="6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4">
        <v>300</v>
      </c>
      <c r="I181" s="4">
        <v>900</v>
      </c>
    </row>
    <row r="182" spans="1:9" x14ac:dyDescent="0.25">
      <c r="A182" s="6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4">
        <v>300</v>
      </c>
      <c r="I182" s="4">
        <v>1200</v>
      </c>
    </row>
    <row r="183" spans="1:9" x14ac:dyDescent="0.25">
      <c r="A183" s="6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4">
        <v>30</v>
      </c>
      <c r="I183" s="4">
        <v>120</v>
      </c>
    </row>
    <row r="184" spans="1:9" x14ac:dyDescent="0.25">
      <c r="A184" s="6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4">
        <v>300</v>
      </c>
      <c r="I184" s="4">
        <v>900</v>
      </c>
    </row>
    <row r="185" spans="1:9" x14ac:dyDescent="0.25">
      <c r="A185" s="6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4">
        <v>50</v>
      </c>
      <c r="I185" s="4">
        <v>200</v>
      </c>
    </row>
    <row r="186" spans="1:9" x14ac:dyDescent="0.25">
      <c r="A186" s="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4">
        <v>25</v>
      </c>
      <c r="I186" s="4">
        <v>25</v>
      </c>
    </row>
    <row r="187" spans="1:9" x14ac:dyDescent="0.25">
      <c r="A187" s="6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4">
        <v>50</v>
      </c>
      <c r="I187" s="4">
        <v>200</v>
      </c>
    </row>
    <row r="188" spans="1:9" x14ac:dyDescent="0.25">
      <c r="A188" s="6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4">
        <v>50</v>
      </c>
      <c r="I188" s="4">
        <v>100</v>
      </c>
    </row>
    <row r="189" spans="1:9" x14ac:dyDescent="0.25">
      <c r="A189" s="6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4">
        <v>25</v>
      </c>
      <c r="I189" s="4">
        <v>75</v>
      </c>
    </row>
    <row r="190" spans="1:9" x14ac:dyDescent="0.25">
      <c r="A190" s="6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4">
        <v>50</v>
      </c>
      <c r="I190" s="4">
        <v>50</v>
      </c>
    </row>
    <row r="191" spans="1:9" x14ac:dyDescent="0.25">
      <c r="A191" s="6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4">
        <v>30</v>
      </c>
      <c r="I191" s="4">
        <v>90</v>
      </c>
    </row>
    <row r="192" spans="1:9" x14ac:dyDescent="0.25">
      <c r="A192" s="6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4">
        <v>25</v>
      </c>
      <c r="I192" s="4">
        <v>25</v>
      </c>
    </row>
    <row r="193" spans="1:9" x14ac:dyDescent="0.25">
      <c r="A193" s="6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4">
        <v>50</v>
      </c>
      <c r="I193" s="4">
        <v>100</v>
      </c>
    </row>
    <row r="194" spans="1:9" x14ac:dyDescent="0.25">
      <c r="A194" s="6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4">
        <v>500</v>
      </c>
      <c r="I194" s="4">
        <v>1500</v>
      </c>
    </row>
    <row r="195" spans="1:9" x14ac:dyDescent="0.25">
      <c r="A195" s="6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4">
        <v>50</v>
      </c>
      <c r="I195" s="4">
        <v>200</v>
      </c>
    </row>
    <row r="196" spans="1:9" x14ac:dyDescent="0.25">
      <c r="A196" s="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4">
        <v>30</v>
      </c>
      <c r="I196" s="4">
        <v>30</v>
      </c>
    </row>
    <row r="197" spans="1:9" x14ac:dyDescent="0.25">
      <c r="A197" s="6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4">
        <v>300</v>
      </c>
      <c r="I197" s="4">
        <v>900</v>
      </c>
    </row>
    <row r="198" spans="1:9" x14ac:dyDescent="0.25">
      <c r="A198" s="6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4">
        <v>50</v>
      </c>
      <c r="I198" s="4">
        <v>200</v>
      </c>
    </row>
    <row r="199" spans="1:9" x14ac:dyDescent="0.25">
      <c r="A199" s="6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4">
        <v>300</v>
      </c>
      <c r="I199" s="4">
        <v>900</v>
      </c>
    </row>
    <row r="200" spans="1:9" x14ac:dyDescent="0.25">
      <c r="A200" s="6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4">
        <v>500</v>
      </c>
      <c r="I200" s="4">
        <v>1500</v>
      </c>
    </row>
    <row r="201" spans="1:9" x14ac:dyDescent="0.25">
      <c r="A201" s="6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4">
        <v>50</v>
      </c>
      <c r="I201" s="4">
        <v>150</v>
      </c>
    </row>
    <row r="202" spans="1:9" x14ac:dyDescent="0.25">
      <c r="F202">
        <f>COUNTA(F2:F201)</f>
        <v>200</v>
      </c>
      <c r="I202" s="4">
        <f>SUM(I2:I201)</f>
        <v>103635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46F-0FF6-432A-91D6-DA5180A1FC93}">
  <dimension ref="A1:I201"/>
  <sheetViews>
    <sheetView workbookViewId="0">
      <selection activeCell="Q10" sqref="Q10"/>
    </sheetView>
  </sheetViews>
  <sheetFormatPr defaultRowHeight="15" x14ac:dyDescent="0.25"/>
  <cols>
    <col min="1" max="1" width="18.7109375" customWidth="1"/>
    <col min="2" max="2" width="21.140625" customWidth="1"/>
    <col min="3" max="3" width="13.28515625" bestFit="1" customWidth="1"/>
    <col min="4" max="4" width="18" style="4" bestFit="1" customWidth="1"/>
    <col min="5" max="5" width="22.28515625" style="3" customWidth="1"/>
    <col min="6" max="6" width="25.140625" customWidth="1"/>
    <col min="7" max="7" width="11.42578125" customWidth="1"/>
    <col min="8" max="8" width="13.85546875" style="4" customWidth="1"/>
    <col min="9" max="9" width="14.7109375" style="3" customWidth="1"/>
    <col min="16" max="16" width="10.140625" customWidth="1"/>
  </cols>
  <sheetData>
    <row r="1" spans="1:9" ht="30.75" customHeight="1" x14ac:dyDescent="0.25">
      <c r="A1" s="7" t="s">
        <v>0</v>
      </c>
      <c r="B1" s="7" t="s">
        <v>5</v>
      </c>
      <c r="C1" s="7" t="s">
        <v>6</v>
      </c>
      <c r="D1" s="8" t="s">
        <v>8</v>
      </c>
      <c r="E1" s="9" t="s">
        <v>214</v>
      </c>
      <c r="F1" s="7" t="s">
        <v>215</v>
      </c>
      <c r="G1" s="7"/>
      <c r="H1" s="8" t="s">
        <v>216</v>
      </c>
      <c r="I1" s="9" t="s">
        <v>214</v>
      </c>
    </row>
    <row r="2" spans="1:9" x14ac:dyDescent="0.25">
      <c r="A2">
        <v>1</v>
      </c>
      <c r="B2" t="s">
        <v>11</v>
      </c>
      <c r="C2">
        <v>3</v>
      </c>
      <c r="D2" s="4">
        <v>150</v>
      </c>
      <c r="E2" s="3">
        <f>_xlfn.XLOOKUP(D2,H$2:H$5,I$2:I$5,0,-1)</f>
        <v>2.5000000000000001E-2</v>
      </c>
      <c r="F2" s="5">
        <f>D2*E2</f>
        <v>3.75</v>
      </c>
      <c r="H2" s="4">
        <v>0</v>
      </c>
      <c r="I2" s="3">
        <v>2.5000000000000001E-2</v>
      </c>
    </row>
    <row r="3" spans="1:9" x14ac:dyDescent="0.25">
      <c r="A3">
        <v>2</v>
      </c>
      <c r="B3" t="s">
        <v>14</v>
      </c>
      <c r="C3">
        <v>2</v>
      </c>
      <c r="D3" s="4">
        <v>1000</v>
      </c>
      <c r="E3" s="3">
        <f t="shared" ref="E3:E66" si="0">_xlfn.XLOOKUP(D3,H$2:H$5,I$2:I$5,0,-1)</f>
        <v>7.4999999999999997E-2</v>
      </c>
      <c r="F3" s="5">
        <f t="shared" ref="F3:F66" si="1">D3*E3</f>
        <v>75</v>
      </c>
      <c r="H3" s="4">
        <v>500</v>
      </c>
      <c r="I3" s="3">
        <v>0.05</v>
      </c>
    </row>
    <row r="4" spans="1:9" x14ac:dyDescent="0.25">
      <c r="A4">
        <v>3</v>
      </c>
      <c r="B4" t="s">
        <v>16</v>
      </c>
      <c r="C4">
        <v>1</v>
      </c>
      <c r="D4" s="4">
        <v>30</v>
      </c>
      <c r="E4" s="3">
        <f t="shared" si="0"/>
        <v>2.5000000000000001E-2</v>
      </c>
      <c r="F4" s="5">
        <f t="shared" si="1"/>
        <v>0.75</v>
      </c>
      <c r="H4" s="4">
        <v>1000</v>
      </c>
      <c r="I4" s="3">
        <v>7.4999999999999997E-2</v>
      </c>
    </row>
    <row r="5" spans="1:9" x14ac:dyDescent="0.25">
      <c r="A5">
        <v>4</v>
      </c>
      <c r="B5" t="s">
        <v>14</v>
      </c>
      <c r="C5">
        <v>1</v>
      </c>
      <c r="D5" s="4">
        <v>500</v>
      </c>
      <c r="E5" s="3">
        <f t="shared" si="0"/>
        <v>0.05</v>
      </c>
      <c r="F5" s="5">
        <f t="shared" si="1"/>
        <v>25</v>
      </c>
      <c r="H5" s="4">
        <v>2000</v>
      </c>
      <c r="I5" s="3">
        <v>0.1</v>
      </c>
    </row>
    <row r="6" spans="1:9" x14ac:dyDescent="0.25">
      <c r="A6">
        <v>5</v>
      </c>
      <c r="B6" t="s">
        <v>11</v>
      </c>
      <c r="C6">
        <v>2</v>
      </c>
      <c r="D6" s="4">
        <v>100</v>
      </c>
      <c r="E6" s="3">
        <f t="shared" si="0"/>
        <v>2.5000000000000001E-2</v>
      </c>
      <c r="F6" s="5">
        <f t="shared" si="1"/>
        <v>2.5</v>
      </c>
    </row>
    <row r="7" spans="1:9" x14ac:dyDescent="0.25">
      <c r="A7">
        <v>6</v>
      </c>
      <c r="B7" t="s">
        <v>11</v>
      </c>
      <c r="C7">
        <v>1</v>
      </c>
      <c r="D7" s="4">
        <v>30</v>
      </c>
      <c r="E7" s="3">
        <f t="shared" si="0"/>
        <v>2.5000000000000001E-2</v>
      </c>
      <c r="F7" s="5">
        <f t="shared" si="1"/>
        <v>0.75</v>
      </c>
    </row>
    <row r="8" spans="1:9" x14ac:dyDescent="0.25">
      <c r="A8">
        <v>7</v>
      </c>
      <c r="B8" t="s">
        <v>14</v>
      </c>
      <c r="C8">
        <v>2</v>
      </c>
      <c r="D8" s="4">
        <v>50</v>
      </c>
      <c r="E8" s="3">
        <f t="shared" si="0"/>
        <v>2.5000000000000001E-2</v>
      </c>
      <c r="F8" s="5">
        <f t="shared" si="1"/>
        <v>1.25</v>
      </c>
    </row>
    <row r="9" spans="1:9" x14ac:dyDescent="0.25">
      <c r="A9">
        <v>8</v>
      </c>
      <c r="B9" t="s">
        <v>16</v>
      </c>
      <c r="C9">
        <v>4</v>
      </c>
      <c r="D9" s="4">
        <v>100</v>
      </c>
      <c r="E9" s="3">
        <f t="shared" si="0"/>
        <v>2.5000000000000001E-2</v>
      </c>
      <c r="F9" s="5">
        <f t="shared" si="1"/>
        <v>2.5</v>
      </c>
    </row>
    <row r="10" spans="1:9" x14ac:dyDescent="0.25">
      <c r="A10">
        <v>9</v>
      </c>
      <c r="B10" t="s">
        <v>16</v>
      </c>
      <c r="C10">
        <v>2</v>
      </c>
      <c r="D10" s="4">
        <v>600</v>
      </c>
      <c r="E10" s="3">
        <f t="shared" si="0"/>
        <v>0.05</v>
      </c>
      <c r="F10" s="5">
        <f t="shared" si="1"/>
        <v>30</v>
      </c>
    </row>
    <row r="11" spans="1:9" x14ac:dyDescent="0.25">
      <c r="A11">
        <v>10</v>
      </c>
      <c r="B11" t="s">
        <v>14</v>
      </c>
      <c r="C11">
        <v>4</v>
      </c>
      <c r="D11" s="4">
        <v>200</v>
      </c>
      <c r="E11" s="3">
        <f t="shared" si="0"/>
        <v>2.5000000000000001E-2</v>
      </c>
      <c r="F11" s="5">
        <f t="shared" si="1"/>
        <v>5</v>
      </c>
    </row>
    <row r="12" spans="1:9" x14ac:dyDescent="0.25">
      <c r="A12">
        <v>11</v>
      </c>
      <c r="B12" t="s">
        <v>14</v>
      </c>
      <c r="C12">
        <v>2</v>
      </c>
      <c r="D12" s="4">
        <v>100</v>
      </c>
      <c r="E12" s="3">
        <f t="shared" si="0"/>
        <v>2.5000000000000001E-2</v>
      </c>
      <c r="F12" s="5">
        <f t="shared" si="1"/>
        <v>2.5</v>
      </c>
    </row>
    <row r="13" spans="1:9" x14ac:dyDescent="0.25">
      <c r="A13">
        <v>12</v>
      </c>
      <c r="B13" t="s">
        <v>11</v>
      </c>
      <c r="C13">
        <v>3</v>
      </c>
      <c r="D13" s="4">
        <v>75</v>
      </c>
      <c r="E13" s="3">
        <f t="shared" si="0"/>
        <v>2.5000000000000001E-2</v>
      </c>
      <c r="F13" s="5">
        <f t="shared" si="1"/>
        <v>1.875</v>
      </c>
    </row>
    <row r="14" spans="1:9" x14ac:dyDescent="0.25">
      <c r="A14">
        <v>13</v>
      </c>
      <c r="B14" t="s">
        <v>16</v>
      </c>
      <c r="C14">
        <v>3</v>
      </c>
      <c r="D14" s="4">
        <v>1500</v>
      </c>
      <c r="E14" s="3">
        <f t="shared" si="0"/>
        <v>7.4999999999999997E-2</v>
      </c>
      <c r="F14" s="5">
        <f t="shared" si="1"/>
        <v>112.5</v>
      </c>
    </row>
    <row r="15" spans="1:9" x14ac:dyDescent="0.25">
      <c r="A15">
        <v>14</v>
      </c>
      <c r="B15" t="s">
        <v>14</v>
      </c>
      <c r="C15">
        <v>4</v>
      </c>
      <c r="D15" s="4">
        <v>120</v>
      </c>
      <c r="E15" s="3">
        <f t="shared" si="0"/>
        <v>2.5000000000000001E-2</v>
      </c>
      <c r="F15" s="5">
        <f t="shared" si="1"/>
        <v>3</v>
      </c>
    </row>
    <row r="16" spans="1:9" x14ac:dyDescent="0.25">
      <c r="A16">
        <v>15</v>
      </c>
      <c r="B16" t="s">
        <v>16</v>
      </c>
      <c r="C16">
        <v>4</v>
      </c>
      <c r="D16" s="4">
        <v>2000</v>
      </c>
      <c r="E16" s="3">
        <f t="shared" si="0"/>
        <v>0.1</v>
      </c>
      <c r="F16" s="5">
        <f t="shared" si="1"/>
        <v>200</v>
      </c>
    </row>
    <row r="17" spans="1:6" x14ac:dyDescent="0.25">
      <c r="A17">
        <v>16</v>
      </c>
      <c r="B17" t="s">
        <v>14</v>
      </c>
      <c r="C17">
        <v>3</v>
      </c>
      <c r="D17" s="4">
        <v>1500</v>
      </c>
      <c r="E17" s="3">
        <f t="shared" si="0"/>
        <v>7.4999999999999997E-2</v>
      </c>
      <c r="F17" s="5">
        <f t="shared" si="1"/>
        <v>112.5</v>
      </c>
    </row>
    <row r="18" spans="1:6" x14ac:dyDescent="0.25">
      <c r="A18">
        <v>17</v>
      </c>
      <c r="B18" t="s">
        <v>14</v>
      </c>
      <c r="C18">
        <v>4</v>
      </c>
      <c r="D18" s="4">
        <v>100</v>
      </c>
      <c r="E18" s="3">
        <f t="shared" si="0"/>
        <v>2.5000000000000001E-2</v>
      </c>
      <c r="F18" s="5">
        <f t="shared" si="1"/>
        <v>2.5</v>
      </c>
    </row>
    <row r="19" spans="1:6" x14ac:dyDescent="0.25">
      <c r="A19">
        <v>18</v>
      </c>
      <c r="B19" t="s">
        <v>16</v>
      </c>
      <c r="C19">
        <v>2</v>
      </c>
      <c r="D19" s="4">
        <v>50</v>
      </c>
      <c r="E19" s="3">
        <f t="shared" si="0"/>
        <v>2.5000000000000001E-2</v>
      </c>
      <c r="F19" s="5">
        <f t="shared" si="1"/>
        <v>1.25</v>
      </c>
    </row>
    <row r="20" spans="1:6" x14ac:dyDescent="0.25">
      <c r="A20">
        <v>19</v>
      </c>
      <c r="B20" t="s">
        <v>14</v>
      </c>
      <c r="C20">
        <v>2</v>
      </c>
      <c r="D20" s="4">
        <v>50</v>
      </c>
      <c r="E20" s="3">
        <f t="shared" si="0"/>
        <v>2.5000000000000001E-2</v>
      </c>
      <c r="F20" s="5">
        <f t="shared" si="1"/>
        <v>1.25</v>
      </c>
    </row>
    <row r="21" spans="1:6" x14ac:dyDescent="0.25">
      <c r="A21">
        <v>20</v>
      </c>
      <c r="B21" t="s">
        <v>14</v>
      </c>
      <c r="C21">
        <v>3</v>
      </c>
      <c r="D21" s="4">
        <v>900</v>
      </c>
      <c r="E21" s="3">
        <f t="shared" si="0"/>
        <v>0.05</v>
      </c>
      <c r="F21" s="5">
        <f t="shared" si="1"/>
        <v>45</v>
      </c>
    </row>
    <row r="22" spans="1:6" x14ac:dyDescent="0.25">
      <c r="A22">
        <v>21</v>
      </c>
      <c r="B22" t="s">
        <v>11</v>
      </c>
      <c r="C22">
        <v>1</v>
      </c>
      <c r="D22" s="4">
        <v>500</v>
      </c>
      <c r="E22" s="3">
        <f t="shared" si="0"/>
        <v>0.05</v>
      </c>
      <c r="F22" s="5">
        <f t="shared" si="1"/>
        <v>25</v>
      </c>
    </row>
    <row r="23" spans="1:6" x14ac:dyDescent="0.25">
      <c r="A23">
        <v>22</v>
      </c>
      <c r="B23" t="s">
        <v>14</v>
      </c>
      <c r="C23">
        <v>2</v>
      </c>
      <c r="D23" s="4">
        <v>100</v>
      </c>
      <c r="E23" s="3">
        <f t="shared" si="0"/>
        <v>2.5000000000000001E-2</v>
      </c>
      <c r="F23" s="5">
        <f t="shared" si="1"/>
        <v>2.5</v>
      </c>
    </row>
    <row r="24" spans="1:6" x14ac:dyDescent="0.25">
      <c r="A24">
        <v>23</v>
      </c>
      <c r="B24" t="s">
        <v>14</v>
      </c>
      <c r="C24">
        <v>4</v>
      </c>
      <c r="D24" s="4">
        <v>120</v>
      </c>
      <c r="E24" s="3">
        <f t="shared" si="0"/>
        <v>2.5000000000000001E-2</v>
      </c>
      <c r="F24" s="5">
        <f t="shared" si="1"/>
        <v>3</v>
      </c>
    </row>
    <row r="25" spans="1:6" x14ac:dyDescent="0.25">
      <c r="A25">
        <v>24</v>
      </c>
      <c r="B25" t="s">
        <v>14</v>
      </c>
      <c r="C25">
        <v>1</v>
      </c>
      <c r="D25" s="4">
        <v>300</v>
      </c>
      <c r="E25" s="3">
        <f t="shared" si="0"/>
        <v>2.5000000000000001E-2</v>
      </c>
      <c r="F25" s="5">
        <f t="shared" si="1"/>
        <v>7.5</v>
      </c>
    </row>
    <row r="26" spans="1:6" x14ac:dyDescent="0.25">
      <c r="A26">
        <v>25</v>
      </c>
      <c r="B26" t="s">
        <v>11</v>
      </c>
      <c r="C26">
        <v>1</v>
      </c>
      <c r="D26" s="4">
        <v>50</v>
      </c>
      <c r="E26" s="3">
        <f t="shared" si="0"/>
        <v>2.5000000000000001E-2</v>
      </c>
      <c r="F26" s="5">
        <f t="shared" si="1"/>
        <v>1.25</v>
      </c>
    </row>
    <row r="27" spans="1:6" x14ac:dyDescent="0.25">
      <c r="A27">
        <v>26</v>
      </c>
      <c r="B27" t="s">
        <v>16</v>
      </c>
      <c r="C27">
        <v>2</v>
      </c>
      <c r="D27" s="4">
        <v>1000</v>
      </c>
      <c r="E27" s="3">
        <f t="shared" si="0"/>
        <v>7.4999999999999997E-2</v>
      </c>
      <c r="F27" s="5">
        <f t="shared" si="1"/>
        <v>75</v>
      </c>
    </row>
    <row r="28" spans="1:6" x14ac:dyDescent="0.25">
      <c r="A28">
        <v>27</v>
      </c>
      <c r="B28" t="s">
        <v>11</v>
      </c>
      <c r="C28">
        <v>2</v>
      </c>
      <c r="D28" s="4">
        <v>50</v>
      </c>
      <c r="E28" s="3">
        <f t="shared" si="0"/>
        <v>2.5000000000000001E-2</v>
      </c>
      <c r="F28" s="5">
        <f t="shared" si="1"/>
        <v>1.25</v>
      </c>
    </row>
    <row r="29" spans="1:6" x14ac:dyDescent="0.25">
      <c r="A29">
        <v>28</v>
      </c>
      <c r="B29" t="s">
        <v>11</v>
      </c>
      <c r="C29">
        <v>1</v>
      </c>
      <c r="D29" s="4">
        <v>500</v>
      </c>
      <c r="E29" s="3">
        <f t="shared" si="0"/>
        <v>0.05</v>
      </c>
      <c r="F29" s="5">
        <f t="shared" si="1"/>
        <v>25</v>
      </c>
    </row>
    <row r="30" spans="1:6" x14ac:dyDescent="0.25">
      <c r="A30">
        <v>29</v>
      </c>
      <c r="B30" t="s">
        <v>16</v>
      </c>
      <c r="C30">
        <v>1</v>
      </c>
      <c r="D30" s="4">
        <v>30</v>
      </c>
      <c r="E30" s="3">
        <f t="shared" si="0"/>
        <v>2.5000000000000001E-2</v>
      </c>
      <c r="F30" s="5">
        <f t="shared" si="1"/>
        <v>0.75</v>
      </c>
    </row>
    <row r="31" spans="1:6" x14ac:dyDescent="0.25">
      <c r="A31">
        <v>30</v>
      </c>
      <c r="B31" t="s">
        <v>11</v>
      </c>
      <c r="C31">
        <v>3</v>
      </c>
      <c r="D31" s="4">
        <v>900</v>
      </c>
      <c r="E31" s="3">
        <f t="shared" si="0"/>
        <v>0.05</v>
      </c>
      <c r="F31" s="5">
        <f t="shared" si="1"/>
        <v>45</v>
      </c>
    </row>
    <row r="32" spans="1:6" x14ac:dyDescent="0.25">
      <c r="A32">
        <v>31</v>
      </c>
      <c r="B32" t="s">
        <v>16</v>
      </c>
      <c r="C32">
        <v>4</v>
      </c>
      <c r="D32" s="4">
        <v>1200</v>
      </c>
      <c r="E32" s="3">
        <f t="shared" si="0"/>
        <v>7.4999999999999997E-2</v>
      </c>
      <c r="F32" s="5">
        <f t="shared" si="1"/>
        <v>90</v>
      </c>
    </row>
    <row r="33" spans="1:6" x14ac:dyDescent="0.25">
      <c r="A33">
        <v>32</v>
      </c>
      <c r="B33" t="s">
        <v>11</v>
      </c>
      <c r="C33">
        <v>3</v>
      </c>
      <c r="D33" s="4">
        <v>90</v>
      </c>
      <c r="E33" s="3">
        <f t="shared" si="0"/>
        <v>2.5000000000000001E-2</v>
      </c>
      <c r="F33" s="5">
        <f t="shared" si="1"/>
        <v>2.25</v>
      </c>
    </row>
    <row r="34" spans="1:6" x14ac:dyDescent="0.25">
      <c r="A34">
        <v>33</v>
      </c>
      <c r="B34" t="s">
        <v>16</v>
      </c>
      <c r="C34">
        <v>2</v>
      </c>
      <c r="D34" s="4">
        <v>100</v>
      </c>
      <c r="E34" s="3">
        <f t="shared" si="0"/>
        <v>2.5000000000000001E-2</v>
      </c>
      <c r="F34" s="5">
        <f t="shared" si="1"/>
        <v>2.5</v>
      </c>
    </row>
    <row r="35" spans="1:6" x14ac:dyDescent="0.25">
      <c r="A35">
        <v>34</v>
      </c>
      <c r="B35" t="s">
        <v>14</v>
      </c>
      <c r="C35">
        <v>3</v>
      </c>
      <c r="D35" s="4">
        <v>150</v>
      </c>
      <c r="E35" s="3">
        <f t="shared" si="0"/>
        <v>2.5000000000000001E-2</v>
      </c>
      <c r="F35" s="5">
        <f t="shared" si="1"/>
        <v>3.75</v>
      </c>
    </row>
    <row r="36" spans="1:6" x14ac:dyDescent="0.25">
      <c r="A36">
        <v>35</v>
      </c>
      <c r="B36" t="s">
        <v>11</v>
      </c>
      <c r="C36">
        <v>3</v>
      </c>
      <c r="D36" s="4">
        <v>900</v>
      </c>
      <c r="E36" s="3">
        <f t="shared" si="0"/>
        <v>0.05</v>
      </c>
      <c r="F36" s="5">
        <f t="shared" si="1"/>
        <v>45</v>
      </c>
    </row>
    <row r="37" spans="1:6" x14ac:dyDescent="0.25">
      <c r="A37">
        <v>36</v>
      </c>
      <c r="B37" t="s">
        <v>11</v>
      </c>
      <c r="C37">
        <v>3</v>
      </c>
      <c r="D37" s="4">
        <v>900</v>
      </c>
      <c r="E37" s="3">
        <f t="shared" si="0"/>
        <v>0.05</v>
      </c>
      <c r="F37" s="5">
        <f t="shared" si="1"/>
        <v>45</v>
      </c>
    </row>
    <row r="38" spans="1:6" x14ac:dyDescent="0.25">
      <c r="A38">
        <v>37</v>
      </c>
      <c r="B38" t="s">
        <v>11</v>
      </c>
      <c r="C38">
        <v>3</v>
      </c>
      <c r="D38" s="4">
        <v>75</v>
      </c>
      <c r="E38" s="3">
        <f t="shared" si="0"/>
        <v>2.5000000000000001E-2</v>
      </c>
      <c r="F38" s="5">
        <f t="shared" si="1"/>
        <v>1.875</v>
      </c>
    </row>
    <row r="39" spans="1:6" x14ac:dyDescent="0.25">
      <c r="A39">
        <v>38</v>
      </c>
      <c r="B39" t="s">
        <v>11</v>
      </c>
      <c r="C39">
        <v>4</v>
      </c>
      <c r="D39" s="4">
        <v>200</v>
      </c>
      <c r="E39" s="3">
        <f t="shared" si="0"/>
        <v>2.5000000000000001E-2</v>
      </c>
      <c r="F39" s="5">
        <f t="shared" si="1"/>
        <v>5</v>
      </c>
    </row>
    <row r="40" spans="1:6" x14ac:dyDescent="0.25">
      <c r="A40">
        <v>39</v>
      </c>
      <c r="B40" t="s">
        <v>14</v>
      </c>
      <c r="C40">
        <v>4</v>
      </c>
      <c r="D40" s="4">
        <v>120</v>
      </c>
      <c r="E40" s="3">
        <f t="shared" si="0"/>
        <v>2.5000000000000001E-2</v>
      </c>
      <c r="F40" s="5">
        <f t="shared" si="1"/>
        <v>3</v>
      </c>
    </row>
    <row r="41" spans="1:6" x14ac:dyDescent="0.25">
      <c r="A41">
        <v>40</v>
      </c>
      <c r="B41" t="s">
        <v>11</v>
      </c>
      <c r="C41">
        <v>1</v>
      </c>
      <c r="D41" s="4">
        <v>50</v>
      </c>
      <c r="E41" s="3">
        <f t="shared" si="0"/>
        <v>2.5000000000000001E-2</v>
      </c>
      <c r="F41" s="5">
        <f t="shared" si="1"/>
        <v>1.25</v>
      </c>
    </row>
    <row r="42" spans="1:6" x14ac:dyDescent="0.25">
      <c r="A42">
        <v>41</v>
      </c>
      <c r="B42" t="s">
        <v>14</v>
      </c>
      <c r="C42">
        <v>2</v>
      </c>
      <c r="D42" s="4">
        <v>50</v>
      </c>
      <c r="E42" s="3">
        <f t="shared" si="0"/>
        <v>2.5000000000000001E-2</v>
      </c>
      <c r="F42" s="5">
        <f t="shared" si="1"/>
        <v>1.25</v>
      </c>
    </row>
    <row r="43" spans="1:6" x14ac:dyDescent="0.25">
      <c r="A43">
        <v>42</v>
      </c>
      <c r="B43" t="s">
        <v>14</v>
      </c>
      <c r="C43">
        <v>3</v>
      </c>
      <c r="D43" s="4">
        <v>900</v>
      </c>
      <c r="E43" s="3">
        <f t="shared" si="0"/>
        <v>0.05</v>
      </c>
      <c r="F43" s="5">
        <f t="shared" si="1"/>
        <v>45</v>
      </c>
    </row>
    <row r="44" spans="1:6" x14ac:dyDescent="0.25">
      <c r="A44">
        <v>43</v>
      </c>
      <c r="B44" t="s">
        <v>14</v>
      </c>
      <c r="C44">
        <v>1</v>
      </c>
      <c r="D44" s="4">
        <v>300</v>
      </c>
      <c r="E44" s="3">
        <f t="shared" si="0"/>
        <v>2.5000000000000001E-2</v>
      </c>
      <c r="F44" s="5">
        <f t="shared" si="1"/>
        <v>7.5</v>
      </c>
    </row>
    <row r="45" spans="1:6" x14ac:dyDescent="0.25">
      <c r="A45">
        <v>44</v>
      </c>
      <c r="B45" t="s">
        <v>14</v>
      </c>
      <c r="C45">
        <v>1</v>
      </c>
      <c r="D45" s="4">
        <v>25</v>
      </c>
      <c r="E45" s="3">
        <f t="shared" si="0"/>
        <v>2.5000000000000001E-2</v>
      </c>
      <c r="F45" s="5">
        <f t="shared" si="1"/>
        <v>0.625</v>
      </c>
    </row>
    <row r="46" spans="1:6" x14ac:dyDescent="0.25">
      <c r="A46">
        <v>45</v>
      </c>
      <c r="B46" t="s">
        <v>16</v>
      </c>
      <c r="C46">
        <v>1</v>
      </c>
      <c r="D46" s="4">
        <v>30</v>
      </c>
      <c r="E46" s="3">
        <f t="shared" si="0"/>
        <v>2.5000000000000001E-2</v>
      </c>
      <c r="F46" s="5">
        <f t="shared" si="1"/>
        <v>0.75</v>
      </c>
    </row>
    <row r="47" spans="1:6" x14ac:dyDescent="0.25">
      <c r="A47">
        <v>46</v>
      </c>
      <c r="B47" t="s">
        <v>16</v>
      </c>
      <c r="C47">
        <v>4</v>
      </c>
      <c r="D47" s="4">
        <v>1200</v>
      </c>
      <c r="E47" s="3">
        <f t="shared" si="0"/>
        <v>7.4999999999999997E-2</v>
      </c>
      <c r="F47" s="5">
        <f t="shared" si="1"/>
        <v>90</v>
      </c>
    </row>
    <row r="48" spans="1:6" x14ac:dyDescent="0.25">
      <c r="A48">
        <v>47</v>
      </c>
      <c r="B48" t="s">
        <v>11</v>
      </c>
      <c r="C48">
        <v>3</v>
      </c>
      <c r="D48" s="4">
        <v>1500</v>
      </c>
      <c r="E48" s="3">
        <f t="shared" si="0"/>
        <v>7.4999999999999997E-2</v>
      </c>
      <c r="F48" s="5">
        <f t="shared" si="1"/>
        <v>112.5</v>
      </c>
    </row>
    <row r="49" spans="1:6" x14ac:dyDescent="0.25">
      <c r="A49">
        <v>48</v>
      </c>
      <c r="B49" t="s">
        <v>16</v>
      </c>
      <c r="C49">
        <v>3</v>
      </c>
      <c r="D49" s="4">
        <v>900</v>
      </c>
      <c r="E49" s="3">
        <f t="shared" si="0"/>
        <v>0.05</v>
      </c>
      <c r="F49" s="5">
        <f t="shared" si="1"/>
        <v>45</v>
      </c>
    </row>
    <row r="50" spans="1:6" x14ac:dyDescent="0.25">
      <c r="A50">
        <v>49</v>
      </c>
      <c r="B50" t="s">
        <v>16</v>
      </c>
      <c r="C50">
        <v>2</v>
      </c>
      <c r="D50" s="4">
        <v>1000</v>
      </c>
      <c r="E50" s="3">
        <f t="shared" si="0"/>
        <v>7.4999999999999997E-2</v>
      </c>
      <c r="F50" s="5">
        <f t="shared" si="1"/>
        <v>75</v>
      </c>
    </row>
    <row r="51" spans="1:6" x14ac:dyDescent="0.25">
      <c r="A51">
        <v>50</v>
      </c>
      <c r="B51" t="s">
        <v>11</v>
      </c>
      <c r="C51">
        <v>3</v>
      </c>
      <c r="D51" s="4">
        <v>75</v>
      </c>
      <c r="E51" s="3">
        <f t="shared" si="0"/>
        <v>2.5000000000000001E-2</v>
      </c>
      <c r="F51" s="5">
        <f t="shared" si="1"/>
        <v>1.875</v>
      </c>
    </row>
    <row r="52" spans="1:6" x14ac:dyDescent="0.25">
      <c r="A52">
        <v>51</v>
      </c>
      <c r="B52" t="s">
        <v>11</v>
      </c>
      <c r="C52">
        <v>3</v>
      </c>
      <c r="D52" s="4">
        <v>75</v>
      </c>
      <c r="E52" s="3">
        <f t="shared" si="0"/>
        <v>2.5000000000000001E-2</v>
      </c>
      <c r="F52" s="5">
        <f t="shared" si="1"/>
        <v>1.875</v>
      </c>
    </row>
    <row r="53" spans="1:6" x14ac:dyDescent="0.25">
      <c r="A53">
        <v>52</v>
      </c>
      <c r="B53" t="s">
        <v>11</v>
      </c>
      <c r="C53">
        <v>1</v>
      </c>
      <c r="D53" s="4">
        <v>300</v>
      </c>
      <c r="E53" s="3">
        <f t="shared" si="0"/>
        <v>2.5000000000000001E-2</v>
      </c>
      <c r="F53" s="5">
        <f t="shared" si="1"/>
        <v>7.5</v>
      </c>
    </row>
    <row r="54" spans="1:6" x14ac:dyDescent="0.25">
      <c r="A54">
        <v>53</v>
      </c>
      <c r="B54" t="s">
        <v>16</v>
      </c>
      <c r="C54">
        <v>2</v>
      </c>
      <c r="D54" s="4">
        <v>100</v>
      </c>
      <c r="E54" s="3">
        <f t="shared" si="0"/>
        <v>2.5000000000000001E-2</v>
      </c>
      <c r="F54" s="5">
        <f t="shared" si="1"/>
        <v>2.5</v>
      </c>
    </row>
    <row r="55" spans="1:6" x14ac:dyDescent="0.25">
      <c r="A55">
        <v>54</v>
      </c>
      <c r="B55" t="s">
        <v>16</v>
      </c>
      <c r="C55">
        <v>3</v>
      </c>
      <c r="D55" s="4">
        <v>1500</v>
      </c>
      <c r="E55" s="3">
        <f t="shared" si="0"/>
        <v>7.4999999999999997E-2</v>
      </c>
      <c r="F55" s="5">
        <f t="shared" si="1"/>
        <v>112.5</v>
      </c>
    </row>
    <row r="56" spans="1:6" x14ac:dyDescent="0.25">
      <c r="A56">
        <v>55</v>
      </c>
      <c r="B56" t="s">
        <v>11</v>
      </c>
      <c r="C56">
        <v>4</v>
      </c>
      <c r="D56" s="4">
        <v>120</v>
      </c>
      <c r="E56" s="3">
        <f t="shared" si="0"/>
        <v>2.5000000000000001E-2</v>
      </c>
      <c r="F56" s="5">
        <f t="shared" si="1"/>
        <v>3</v>
      </c>
    </row>
    <row r="57" spans="1:6" x14ac:dyDescent="0.25">
      <c r="A57">
        <v>56</v>
      </c>
      <c r="B57" t="s">
        <v>14</v>
      </c>
      <c r="C57">
        <v>3</v>
      </c>
      <c r="D57" s="4">
        <v>900</v>
      </c>
      <c r="E57" s="3">
        <f t="shared" si="0"/>
        <v>0.05</v>
      </c>
      <c r="F57" s="5">
        <f t="shared" si="1"/>
        <v>45</v>
      </c>
    </row>
    <row r="58" spans="1:6" x14ac:dyDescent="0.25">
      <c r="A58">
        <v>57</v>
      </c>
      <c r="B58" t="s">
        <v>11</v>
      </c>
      <c r="C58">
        <v>1</v>
      </c>
      <c r="D58" s="4">
        <v>30</v>
      </c>
      <c r="E58" s="3">
        <f t="shared" si="0"/>
        <v>2.5000000000000001E-2</v>
      </c>
      <c r="F58" s="5">
        <f t="shared" si="1"/>
        <v>0.75</v>
      </c>
    </row>
    <row r="59" spans="1:6" x14ac:dyDescent="0.25">
      <c r="A59">
        <v>58</v>
      </c>
      <c r="B59" t="s">
        <v>14</v>
      </c>
      <c r="C59">
        <v>4</v>
      </c>
      <c r="D59" s="4">
        <v>1200</v>
      </c>
      <c r="E59" s="3">
        <f t="shared" si="0"/>
        <v>7.4999999999999997E-2</v>
      </c>
      <c r="F59" s="5">
        <f t="shared" si="1"/>
        <v>90</v>
      </c>
    </row>
    <row r="60" spans="1:6" x14ac:dyDescent="0.25">
      <c r="A60">
        <v>59</v>
      </c>
      <c r="B60" t="s">
        <v>14</v>
      </c>
      <c r="C60">
        <v>1</v>
      </c>
      <c r="D60" s="4">
        <v>50</v>
      </c>
      <c r="E60" s="3">
        <f t="shared" si="0"/>
        <v>2.5000000000000001E-2</v>
      </c>
      <c r="F60" s="5">
        <f t="shared" si="1"/>
        <v>1.25</v>
      </c>
    </row>
    <row r="61" spans="1:6" x14ac:dyDescent="0.25">
      <c r="A61">
        <v>60</v>
      </c>
      <c r="B61" t="s">
        <v>11</v>
      </c>
      <c r="C61">
        <v>3</v>
      </c>
      <c r="D61" s="4">
        <v>150</v>
      </c>
      <c r="E61" s="3">
        <f t="shared" si="0"/>
        <v>2.5000000000000001E-2</v>
      </c>
      <c r="F61" s="5">
        <f t="shared" si="1"/>
        <v>3.75</v>
      </c>
    </row>
    <row r="62" spans="1:6" x14ac:dyDescent="0.25">
      <c r="A62">
        <v>61</v>
      </c>
      <c r="B62" t="s">
        <v>11</v>
      </c>
      <c r="C62">
        <v>4</v>
      </c>
      <c r="D62" s="4">
        <v>200</v>
      </c>
      <c r="E62" s="3">
        <f t="shared" si="0"/>
        <v>2.5000000000000001E-2</v>
      </c>
      <c r="F62" s="5">
        <f t="shared" si="1"/>
        <v>5</v>
      </c>
    </row>
    <row r="63" spans="1:6" x14ac:dyDescent="0.25">
      <c r="A63">
        <v>62</v>
      </c>
      <c r="B63" t="s">
        <v>11</v>
      </c>
      <c r="C63">
        <v>2</v>
      </c>
      <c r="D63" s="4">
        <v>100</v>
      </c>
      <c r="E63" s="3">
        <f t="shared" si="0"/>
        <v>2.5000000000000001E-2</v>
      </c>
      <c r="F63" s="5">
        <f t="shared" si="1"/>
        <v>2.5</v>
      </c>
    </row>
    <row r="64" spans="1:6" x14ac:dyDescent="0.25">
      <c r="A64">
        <v>63</v>
      </c>
      <c r="B64" t="s">
        <v>16</v>
      </c>
      <c r="C64">
        <v>2</v>
      </c>
      <c r="D64" s="4">
        <v>50</v>
      </c>
      <c r="E64" s="3">
        <f t="shared" si="0"/>
        <v>2.5000000000000001E-2</v>
      </c>
      <c r="F64" s="5">
        <f t="shared" si="1"/>
        <v>1.25</v>
      </c>
    </row>
    <row r="65" spans="1:6" x14ac:dyDescent="0.25">
      <c r="A65">
        <v>64</v>
      </c>
      <c r="B65" t="s">
        <v>14</v>
      </c>
      <c r="C65">
        <v>4</v>
      </c>
      <c r="D65" s="4">
        <v>100</v>
      </c>
      <c r="E65" s="3">
        <f t="shared" si="0"/>
        <v>2.5000000000000001E-2</v>
      </c>
      <c r="F65" s="5">
        <f t="shared" si="1"/>
        <v>2.5</v>
      </c>
    </row>
    <row r="66" spans="1:6" x14ac:dyDescent="0.25">
      <c r="A66">
        <v>65</v>
      </c>
      <c r="B66" t="s">
        <v>16</v>
      </c>
      <c r="C66">
        <v>4</v>
      </c>
      <c r="D66" s="4">
        <v>2000</v>
      </c>
      <c r="E66" s="3">
        <f t="shared" si="0"/>
        <v>0.1</v>
      </c>
      <c r="F66" s="5">
        <f t="shared" si="1"/>
        <v>200</v>
      </c>
    </row>
    <row r="67" spans="1:6" x14ac:dyDescent="0.25">
      <c r="A67">
        <v>66</v>
      </c>
      <c r="B67" t="s">
        <v>16</v>
      </c>
      <c r="C67">
        <v>1</v>
      </c>
      <c r="D67" s="4">
        <v>30</v>
      </c>
      <c r="E67" s="3">
        <f t="shared" ref="E67:E130" si="2">_xlfn.XLOOKUP(D67,H$2:H$5,I$2:I$5,0,-1)</f>
        <v>2.5000000000000001E-2</v>
      </c>
      <c r="F67" s="5">
        <f t="shared" ref="F67:F130" si="3">D67*E67</f>
        <v>0.75</v>
      </c>
    </row>
    <row r="68" spans="1:6" x14ac:dyDescent="0.25">
      <c r="A68">
        <v>67</v>
      </c>
      <c r="B68" t="s">
        <v>11</v>
      </c>
      <c r="C68">
        <v>4</v>
      </c>
      <c r="D68" s="4">
        <v>1200</v>
      </c>
      <c r="E68" s="3">
        <f t="shared" si="2"/>
        <v>7.4999999999999997E-2</v>
      </c>
      <c r="F68" s="5">
        <f t="shared" si="3"/>
        <v>90</v>
      </c>
    </row>
    <row r="69" spans="1:6" x14ac:dyDescent="0.25">
      <c r="A69">
        <v>68</v>
      </c>
      <c r="B69" t="s">
        <v>16</v>
      </c>
      <c r="C69">
        <v>1</v>
      </c>
      <c r="D69" s="4">
        <v>300</v>
      </c>
      <c r="E69" s="3">
        <f t="shared" si="2"/>
        <v>2.5000000000000001E-2</v>
      </c>
      <c r="F69" s="5">
        <f t="shared" si="3"/>
        <v>7.5</v>
      </c>
    </row>
    <row r="70" spans="1:6" x14ac:dyDescent="0.25">
      <c r="A70">
        <v>69</v>
      </c>
      <c r="B70" t="s">
        <v>11</v>
      </c>
      <c r="C70">
        <v>3</v>
      </c>
      <c r="D70" s="4">
        <v>75</v>
      </c>
      <c r="E70" s="3">
        <f t="shared" si="2"/>
        <v>2.5000000000000001E-2</v>
      </c>
      <c r="F70" s="5">
        <f t="shared" si="3"/>
        <v>1.875</v>
      </c>
    </row>
    <row r="71" spans="1:6" x14ac:dyDescent="0.25">
      <c r="A71">
        <v>70</v>
      </c>
      <c r="B71" t="s">
        <v>14</v>
      </c>
      <c r="C71">
        <v>1</v>
      </c>
      <c r="D71" s="4">
        <v>300</v>
      </c>
      <c r="E71" s="3">
        <f t="shared" si="2"/>
        <v>2.5000000000000001E-2</v>
      </c>
      <c r="F71" s="5">
        <f t="shared" si="3"/>
        <v>7.5</v>
      </c>
    </row>
    <row r="72" spans="1:6" x14ac:dyDescent="0.25">
      <c r="A72">
        <v>71</v>
      </c>
      <c r="B72" t="s">
        <v>11</v>
      </c>
      <c r="C72">
        <v>4</v>
      </c>
      <c r="D72" s="4">
        <v>100</v>
      </c>
      <c r="E72" s="3">
        <f t="shared" si="2"/>
        <v>2.5000000000000001E-2</v>
      </c>
      <c r="F72" s="5">
        <f t="shared" si="3"/>
        <v>2.5</v>
      </c>
    </row>
    <row r="73" spans="1:6" x14ac:dyDescent="0.25">
      <c r="A73">
        <v>72</v>
      </c>
      <c r="B73" t="s">
        <v>16</v>
      </c>
      <c r="C73">
        <v>4</v>
      </c>
      <c r="D73" s="4">
        <v>2000</v>
      </c>
      <c r="E73" s="3">
        <f t="shared" si="2"/>
        <v>0.1</v>
      </c>
      <c r="F73" s="5">
        <f t="shared" si="3"/>
        <v>200</v>
      </c>
    </row>
    <row r="74" spans="1:6" x14ac:dyDescent="0.25">
      <c r="A74">
        <v>73</v>
      </c>
      <c r="B74" t="s">
        <v>16</v>
      </c>
      <c r="C74">
        <v>3</v>
      </c>
      <c r="D74" s="4">
        <v>90</v>
      </c>
      <c r="E74" s="3">
        <f t="shared" si="2"/>
        <v>2.5000000000000001E-2</v>
      </c>
      <c r="F74" s="5">
        <f t="shared" si="3"/>
        <v>2.25</v>
      </c>
    </row>
    <row r="75" spans="1:6" x14ac:dyDescent="0.25">
      <c r="A75">
        <v>74</v>
      </c>
      <c r="B75" t="s">
        <v>11</v>
      </c>
      <c r="C75">
        <v>4</v>
      </c>
      <c r="D75" s="4">
        <v>2000</v>
      </c>
      <c r="E75" s="3">
        <f t="shared" si="2"/>
        <v>0.1</v>
      </c>
      <c r="F75" s="5">
        <f t="shared" si="3"/>
        <v>200</v>
      </c>
    </row>
    <row r="76" spans="1:6" x14ac:dyDescent="0.25">
      <c r="A76">
        <v>75</v>
      </c>
      <c r="B76" t="s">
        <v>11</v>
      </c>
      <c r="C76">
        <v>4</v>
      </c>
      <c r="D76" s="4">
        <v>200</v>
      </c>
      <c r="E76" s="3">
        <f t="shared" si="2"/>
        <v>2.5000000000000001E-2</v>
      </c>
      <c r="F76" s="5">
        <f t="shared" si="3"/>
        <v>5</v>
      </c>
    </row>
    <row r="77" spans="1:6" x14ac:dyDescent="0.25">
      <c r="A77">
        <v>76</v>
      </c>
      <c r="B77" t="s">
        <v>16</v>
      </c>
      <c r="C77">
        <v>2</v>
      </c>
      <c r="D77" s="4">
        <v>100</v>
      </c>
      <c r="E77" s="3">
        <f t="shared" si="2"/>
        <v>2.5000000000000001E-2</v>
      </c>
      <c r="F77" s="5">
        <f t="shared" si="3"/>
        <v>2.5</v>
      </c>
    </row>
    <row r="78" spans="1:6" x14ac:dyDescent="0.25">
      <c r="A78">
        <v>77</v>
      </c>
      <c r="B78" t="s">
        <v>14</v>
      </c>
      <c r="C78">
        <v>2</v>
      </c>
      <c r="D78" s="4">
        <v>100</v>
      </c>
      <c r="E78" s="3">
        <f t="shared" si="2"/>
        <v>2.5000000000000001E-2</v>
      </c>
      <c r="F78" s="5">
        <f t="shared" si="3"/>
        <v>2.5</v>
      </c>
    </row>
    <row r="79" spans="1:6" x14ac:dyDescent="0.25">
      <c r="A79">
        <v>78</v>
      </c>
      <c r="B79" t="s">
        <v>14</v>
      </c>
      <c r="C79">
        <v>3</v>
      </c>
      <c r="D79" s="4">
        <v>1500</v>
      </c>
      <c r="E79" s="3">
        <f t="shared" si="2"/>
        <v>7.4999999999999997E-2</v>
      </c>
      <c r="F79" s="5">
        <f t="shared" si="3"/>
        <v>112.5</v>
      </c>
    </row>
    <row r="80" spans="1:6" x14ac:dyDescent="0.25">
      <c r="A80">
        <v>79</v>
      </c>
      <c r="B80" t="s">
        <v>11</v>
      </c>
      <c r="C80">
        <v>1</v>
      </c>
      <c r="D80" s="4">
        <v>300</v>
      </c>
      <c r="E80" s="3">
        <f t="shared" si="2"/>
        <v>2.5000000000000001E-2</v>
      </c>
      <c r="F80" s="5">
        <f t="shared" si="3"/>
        <v>7.5</v>
      </c>
    </row>
    <row r="81" spans="1:6" x14ac:dyDescent="0.25">
      <c r="A81">
        <v>80</v>
      </c>
      <c r="B81" t="s">
        <v>14</v>
      </c>
      <c r="C81">
        <v>2</v>
      </c>
      <c r="D81" s="4">
        <v>60</v>
      </c>
      <c r="E81" s="3">
        <f t="shared" si="2"/>
        <v>2.5000000000000001E-2</v>
      </c>
      <c r="F81" s="5">
        <f t="shared" si="3"/>
        <v>1.5</v>
      </c>
    </row>
    <row r="82" spans="1:6" x14ac:dyDescent="0.25">
      <c r="A82">
        <v>81</v>
      </c>
      <c r="B82" t="s">
        <v>16</v>
      </c>
      <c r="C82">
        <v>1</v>
      </c>
      <c r="D82" s="4">
        <v>50</v>
      </c>
      <c r="E82" s="3">
        <f t="shared" si="2"/>
        <v>2.5000000000000001E-2</v>
      </c>
      <c r="F82" s="5">
        <f t="shared" si="3"/>
        <v>1.25</v>
      </c>
    </row>
    <row r="83" spans="1:6" x14ac:dyDescent="0.25">
      <c r="A83">
        <v>82</v>
      </c>
      <c r="B83" t="s">
        <v>11</v>
      </c>
      <c r="C83">
        <v>4</v>
      </c>
      <c r="D83" s="4">
        <v>200</v>
      </c>
      <c r="E83" s="3">
        <f t="shared" si="2"/>
        <v>2.5000000000000001E-2</v>
      </c>
      <c r="F83" s="5">
        <f t="shared" si="3"/>
        <v>5</v>
      </c>
    </row>
    <row r="84" spans="1:6" x14ac:dyDescent="0.25">
      <c r="A84">
        <v>83</v>
      </c>
      <c r="B84" t="s">
        <v>16</v>
      </c>
      <c r="C84">
        <v>2</v>
      </c>
      <c r="D84" s="4">
        <v>100</v>
      </c>
      <c r="E84" s="3">
        <f t="shared" si="2"/>
        <v>2.5000000000000001E-2</v>
      </c>
      <c r="F84" s="5">
        <f t="shared" si="3"/>
        <v>2.5</v>
      </c>
    </row>
    <row r="85" spans="1:6" x14ac:dyDescent="0.25">
      <c r="A85">
        <v>84</v>
      </c>
      <c r="B85" t="s">
        <v>16</v>
      </c>
      <c r="C85">
        <v>3</v>
      </c>
      <c r="D85" s="4">
        <v>90</v>
      </c>
      <c r="E85" s="3">
        <f t="shared" si="2"/>
        <v>2.5000000000000001E-2</v>
      </c>
      <c r="F85" s="5">
        <f t="shared" si="3"/>
        <v>2.25</v>
      </c>
    </row>
    <row r="86" spans="1:6" x14ac:dyDescent="0.25">
      <c r="A86">
        <v>85</v>
      </c>
      <c r="B86" t="s">
        <v>14</v>
      </c>
      <c r="C86">
        <v>3</v>
      </c>
      <c r="D86" s="4">
        <v>150</v>
      </c>
      <c r="E86" s="3">
        <f t="shared" si="2"/>
        <v>2.5000000000000001E-2</v>
      </c>
      <c r="F86" s="5">
        <f t="shared" si="3"/>
        <v>3.75</v>
      </c>
    </row>
    <row r="87" spans="1:6" x14ac:dyDescent="0.25">
      <c r="A87">
        <v>86</v>
      </c>
      <c r="B87" t="s">
        <v>11</v>
      </c>
      <c r="C87">
        <v>3</v>
      </c>
      <c r="D87" s="4">
        <v>90</v>
      </c>
      <c r="E87" s="3">
        <f t="shared" si="2"/>
        <v>2.5000000000000001E-2</v>
      </c>
      <c r="F87" s="5">
        <f t="shared" si="3"/>
        <v>2.25</v>
      </c>
    </row>
    <row r="88" spans="1:6" x14ac:dyDescent="0.25">
      <c r="A88">
        <v>87</v>
      </c>
      <c r="B88" t="s">
        <v>11</v>
      </c>
      <c r="C88">
        <v>2</v>
      </c>
      <c r="D88" s="4">
        <v>100</v>
      </c>
      <c r="E88" s="3">
        <f t="shared" si="2"/>
        <v>2.5000000000000001E-2</v>
      </c>
      <c r="F88" s="5">
        <f t="shared" si="3"/>
        <v>2.5</v>
      </c>
    </row>
    <row r="89" spans="1:6" x14ac:dyDescent="0.25">
      <c r="A89">
        <v>88</v>
      </c>
      <c r="B89" t="s">
        <v>14</v>
      </c>
      <c r="C89">
        <v>1</v>
      </c>
      <c r="D89" s="4">
        <v>500</v>
      </c>
      <c r="E89" s="3">
        <f t="shared" si="2"/>
        <v>0.05</v>
      </c>
      <c r="F89" s="5">
        <f t="shared" si="3"/>
        <v>25</v>
      </c>
    </row>
    <row r="90" spans="1:6" x14ac:dyDescent="0.25">
      <c r="A90">
        <v>89</v>
      </c>
      <c r="B90" t="s">
        <v>16</v>
      </c>
      <c r="C90">
        <v>4</v>
      </c>
      <c r="D90" s="4">
        <v>2000</v>
      </c>
      <c r="E90" s="3">
        <f t="shared" si="2"/>
        <v>0.1</v>
      </c>
      <c r="F90" s="5">
        <f t="shared" si="3"/>
        <v>200</v>
      </c>
    </row>
    <row r="91" spans="1:6" x14ac:dyDescent="0.25">
      <c r="A91">
        <v>90</v>
      </c>
      <c r="B91" t="s">
        <v>16</v>
      </c>
      <c r="C91">
        <v>1</v>
      </c>
      <c r="D91" s="4">
        <v>30</v>
      </c>
      <c r="E91" s="3">
        <f t="shared" si="2"/>
        <v>2.5000000000000001E-2</v>
      </c>
      <c r="F91" s="5">
        <f t="shared" si="3"/>
        <v>0.75</v>
      </c>
    </row>
    <row r="92" spans="1:6" x14ac:dyDescent="0.25">
      <c r="A92">
        <v>91</v>
      </c>
      <c r="B92" t="s">
        <v>16</v>
      </c>
      <c r="C92">
        <v>1</v>
      </c>
      <c r="D92" s="4">
        <v>500</v>
      </c>
      <c r="E92" s="3">
        <f t="shared" si="2"/>
        <v>0.05</v>
      </c>
      <c r="F92" s="5">
        <f t="shared" si="3"/>
        <v>25</v>
      </c>
    </row>
    <row r="93" spans="1:6" x14ac:dyDescent="0.25">
      <c r="A93">
        <v>92</v>
      </c>
      <c r="B93" t="s">
        <v>16</v>
      </c>
      <c r="C93">
        <v>4</v>
      </c>
      <c r="D93" s="4">
        <v>120</v>
      </c>
      <c r="E93" s="3">
        <f t="shared" si="2"/>
        <v>2.5000000000000001E-2</v>
      </c>
      <c r="F93" s="5">
        <f t="shared" si="3"/>
        <v>3</v>
      </c>
    </row>
    <row r="94" spans="1:6" x14ac:dyDescent="0.25">
      <c r="A94">
        <v>93</v>
      </c>
      <c r="B94" t="s">
        <v>11</v>
      </c>
      <c r="C94">
        <v>4</v>
      </c>
      <c r="D94" s="4">
        <v>2000</v>
      </c>
      <c r="E94" s="3">
        <f t="shared" si="2"/>
        <v>0.1</v>
      </c>
      <c r="F94" s="5">
        <f t="shared" si="3"/>
        <v>200</v>
      </c>
    </row>
    <row r="95" spans="1:6" x14ac:dyDescent="0.25">
      <c r="A95">
        <v>94</v>
      </c>
      <c r="B95" t="s">
        <v>11</v>
      </c>
      <c r="C95">
        <v>2</v>
      </c>
      <c r="D95" s="4">
        <v>1000</v>
      </c>
      <c r="E95" s="3">
        <f t="shared" si="2"/>
        <v>7.4999999999999997E-2</v>
      </c>
      <c r="F95" s="5">
        <f t="shared" si="3"/>
        <v>75</v>
      </c>
    </row>
    <row r="96" spans="1:6" x14ac:dyDescent="0.25">
      <c r="A96">
        <v>95</v>
      </c>
      <c r="B96" t="s">
        <v>14</v>
      </c>
      <c r="C96">
        <v>2</v>
      </c>
      <c r="D96" s="4">
        <v>60</v>
      </c>
      <c r="E96" s="3">
        <f t="shared" si="2"/>
        <v>2.5000000000000001E-2</v>
      </c>
      <c r="F96" s="5">
        <f t="shared" si="3"/>
        <v>1.5</v>
      </c>
    </row>
    <row r="97" spans="1:6" x14ac:dyDescent="0.25">
      <c r="A97">
        <v>96</v>
      </c>
      <c r="B97" t="s">
        <v>14</v>
      </c>
      <c r="C97">
        <v>2</v>
      </c>
      <c r="D97" s="4">
        <v>600</v>
      </c>
      <c r="E97" s="3">
        <f t="shared" si="2"/>
        <v>0.05</v>
      </c>
      <c r="F97" s="5">
        <f t="shared" si="3"/>
        <v>30</v>
      </c>
    </row>
    <row r="98" spans="1:6" x14ac:dyDescent="0.25">
      <c r="A98">
        <v>97</v>
      </c>
      <c r="B98" t="s">
        <v>11</v>
      </c>
      <c r="C98">
        <v>2</v>
      </c>
      <c r="D98" s="4">
        <v>1000</v>
      </c>
      <c r="E98" s="3">
        <f t="shared" si="2"/>
        <v>7.4999999999999997E-2</v>
      </c>
      <c r="F98" s="5">
        <f t="shared" si="3"/>
        <v>75</v>
      </c>
    </row>
    <row r="99" spans="1:6" x14ac:dyDescent="0.25">
      <c r="A99">
        <v>98</v>
      </c>
      <c r="B99" t="s">
        <v>11</v>
      </c>
      <c r="C99">
        <v>2</v>
      </c>
      <c r="D99" s="4">
        <v>100</v>
      </c>
      <c r="E99" s="3">
        <f t="shared" si="2"/>
        <v>2.5000000000000001E-2</v>
      </c>
      <c r="F99" s="5">
        <f t="shared" si="3"/>
        <v>2.5</v>
      </c>
    </row>
    <row r="100" spans="1:6" x14ac:dyDescent="0.25">
      <c r="A100">
        <v>99</v>
      </c>
      <c r="B100" t="s">
        <v>16</v>
      </c>
      <c r="C100">
        <v>4</v>
      </c>
      <c r="D100" s="4">
        <v>1200</v>
      </c>
      <c r="E100" s="3">
        <f t="shared" si="2"/>
        <v>7.4999999999999997E-2</v>
      </c>
      <c r="F100" s="5">
        <f t="shared" si="3"/>
        <v>90</v>
      </c>
    </row>
    <row r="101" spans="1:6" x14ac:dyDescent="0.25">
      <c r="A101">
        <v>100</v>
      </c>
      <c r="B101" t="s">
        <v>16</v>
      </c>
      <c r="C101">
        <v>1</v>
      </c>
      <c r="D101" s="4">
        <v>30</v>
      </c>
      <c r="E101" s="3">
        <f t="shared" si="2"/>
        <v>2.5000000000000001E-2</v>
      </c>
      <c r="F101" s="5">
        <f t="shared" si="3"/>
        <v>0.75</v>
      </c>
    </row>
    <row r="102" spans="1:6" x14ac:dyDescent="0.25">
      <c r="A102">
        <v>101</v>
      </c>
      <c r="B102" t="s">
        <v>14</v>
      </c>
      <c r="C102">
        <v>2</v>
      </c>
      <c r="D102" s="4">
        <v>600</v>
      </c>
      <c r="E102" s="3">
        <f t="shared" si="2"/>
        <v>0.05</v>
      </c>
      <c r="F102" s="5">
        <f t="shared" si="3"/>
        <v>30</v>
      </c>
    </row>
    <row r="103" spans="1:6" x14ac:dyDescent="0.25">
      <c r="A103">
        <v>102</v>
      </c>
      <c r="B103" t="s">
        <v>11</v>
      </c>
      <c r="C103">
        <v>2</v>
      </c>
      <c r="D103" s="4">
        <v>50</v>
      </c>
      <c r="E103" s="3">
        <f t="shared" si="2"/>
        <v>2.5000000000000001E-2</v>
      </c>
      <c r="F103" s="5">
        <f t="shared" si="3"/>
        <v>1.25</v>
      </c>
    </row>
    <row r="104" spans="1:6" x14ac:dyDescent="0.25">
      <c r="A104">
        <v>103</v>
      </c>
      <c r="B104" t="s">
        <v>14</v>
      </c>
      <c r="C104">
        <v>1</v>
      </c>
      <c r="D104" s="4">
        <v>25</v>
      </c>
      <c r="E104" s="3">
        <f t="shared" si="2"/>
        <v>2.5000000000000001E-2</v>
      </c>
      <c r="F104" s="5">
        <f t="shared" si="3"/>
        <v>0.625</v>
      </c>
    </row>
    <row r="105" spans="1:6" x14ac:dyDescent="0.25">
      <c r="A105">
        <v>104</v>
      </c>
      <c r="B105" t="s">
        <v>11</v>
      </c>
      <c r="C105">
        <v>2</v>
      </c>
      <c r="D105" s="4">
        <v>1000</v>
      </c>
      <c r="E105" s="3">
        <f t="shared" si="2"/>
        <v>7.4999999999999997E-2</v>
      </c>
      <c r="F105" s="5">
        <f t="shared" si="3"/>
        <v>75</v>
      </c>
    </row>
    <row r="106" spans="1:6" x14ac:dyDescent="0.25">
      <c r="A106">
        <v>105</v>
      </c>
      <c r="B106" t="s">
        <v>16</v>
      </c>
      <c r="C106">
        <v>1</v>
      </c>
      <c r="D106" s="4">
        <v>500</v>
      </c>
      <c r="E106" s="3">
        <f t="shared" si="2"/>
        <v>0.05</v>
      </c>
      <c r="F106" s="5">
        <f t="shared" si="3"/>
        <v>25</v>
      </c>
    </row>
    <row r="107" spans="1:6" x14ac:dyDescent="0.25">
      <c r="A107">
        <v>106</v>
      </c>
      <c r="B107" t="s">
        <v>14</v>
      </c>
      <c r="C107">
        <v>1</v>
      </c>
      <c r="D107" s="4">
        <v>50</v>
      </c>
      <c r="E107" s="3">
        <f t="shared" si="2"/>
        <v>2.5000000000000001E-2</v>
      </c>
      <c r="F107" s="5">
        <f t="shared" si="3"/>
        <v>1.25</v>
      </c>
    </row>
    <row r="108" spans="1:6" x14ac:dyDescent="0.25">
      <c r="A108">
        <v>107</v>
      </c>
      <c r="B108" t="s">
        <v>14</v>
      </c>
      <c r="C108">
        <v>4</v>
      </c>
      <c r="D108" s="4">
        <v>1200</v>
      </c>
      <c r="E108" s="3">
        <f t="shared" si="2"/>
        <v>7.4999999999999997E-2</v>
      </c>
      <c r="F108" s="5">
        <f t="shared" si="3"/>
        <v>90</v>
      </c>
    </row>
    <row r="109" spans="1:6" x14ac:dyDescent="0.25">
      <c r="A109">
        <v>108</v>
      </c>
      <c r="B109" t="s">
        <v>11</v>
      </c>
      <c r="C109">
        <v>3</v>
      </c>
      <c r="D109" s="4">
        <v>75</v>
      </c>
      <c r="E109" s="3">
        <f t="shared" si="2"/>
        <v>2.5000000000000001E-2</v>
      </c>
      <c r="F109" s="5">
        <f t="shared" si="3"/>
        <v>1.875</v>
      </c>
    </row>
    <row r="110" spans="1:6" x14ac:dyDescent="0.25">
      <c r="A110">
        <v>109</v>
      </c>
      <c r="B110" t="s">
        <v>16</v>
      </c>
      <c r="C110">
        <v>4</v>
      </c>
      <c r="D110" s="4">
        <v>2000</v>
      </c>
      <c r="E110" s="3">
        <f t="shared" si="2"/>
        <v>0.1</v>
      </c>
      <c r="F110" s="5">
        <f t="shared" si="3"/>
        <v>200</v>
      </c>
    </row>
    <row r="111" spans="1:6" x14ac:dyDescent="0.25">
      <c r="A111">
        <v>110</v>
      </c>
      <c r="B111" t="s">
        <v>14</v>
      </c>
      <c r="C111">
        <v>3</v>
      </c>
      <c r="D111" s="4">
        <v>900</v>
      </c>
      <c r="E111" s="3">
        <f t="shared" si="2"/>
        <v>0.05</v>
      </c>
      <c r="F111" s="5">
        <f t="shared" si="3"/>
        <v>45</v>
      </c>
    </row>
    <row r="112" spans="1:6" x14ac:dyDescent="0.25">
      <c r="A112">
        <v>111</v>
      </c>
      <c r="B112" t="s">
        <v>16</v>
      </c>
      <c r="C112">
        <v>3</v>
      </c>
      <c r="D112" s="4">
        <v>1500</v>
      </c>
      <c r="E112" s="3">
        <f t="shared" si="2"/>
        <v>7.4999999999999997E-2</v>
      </c>
      <c r="F112" s="5">
        <f t="shared" si="3"/>
        <v>112.5</v>
      </c>
    </row>
    <row r="113" spans="1:6" x14ac:dyDescent="0.25">
      <c r="A113">
        <v>112</v>
      </c>
      <c r="B113" t="s">
        <v>14</v>
      </c>
      <c r="C113">
        <v>3</v>
      </c>
      <c r="D113" s="4">
        <v>1500</v>
      </c>
      <c r="E113" s="3">
        <f t="shared" si="2"/>
        <v>7.4999999999999997E-2</v>
      </c>
      <c r="F113" s="5">
        <f t="shared" si="3"/>
        <v>112.5</v>
      </c>
    </row>
    <row r="114" spans="1:6" x14ac:dyDescent="0.25">
      <c r="A114">
        <v>113</v>
      </c>
      <c r="B114" t="s">
        <v>16</v>
      </c>
      <c r="C114">
        <v>2</v>
      </c>
      <c r="D114" s="4">
        <v>50</v>
      </c>
      <c r="E114" s="3">
        <f t="shared" si="2"/>
        <v>2.5000000000000001E-2</v>
      </c>
      <c r="F114" s="5">
        <f t="shared" si="3"/>
        <v>1.25</v>
      </c>
    </row>
    <row r="115" spans="1:6" x14ac:dyDescent="0.25">
      <c r="A115">
        <v>114</v>
      </c>
      <c r="B115" t="s">
        <v>11</v>
      </c>
      <c r="C115">
        <v>4</v>
      </c>
      <c r="D115" s="4">
        <v>100</v>
      </c>
      <c r="E115" s="3">
        <f t="shared" si="2"/>
        <v>2.5000000000000001E-2</v>
      </c>
      <c r="F115" s="5">
        <f t="shared" si="3"/>
        <v>2.5</v>
      </c>
    </row>
    <row r="116" spans="1:6" x14ac:dyDescent="0.25">
      <c r="A116">
        <v>115</v>
      </c>
      <c r="B116" t="s">
        <v>14</v>
      </c>
      <c r="C116">
        <v>3</v>
      </c>
      <c r="D116" s="4">
        <v>1500</v>
      </c>
      <c r="E116" s="3">
        <f t="shared" si="2"/>
        <v>7.4999999999999997E-2</v>
      </c>
      <c r="F116" s="5">
        <f t="shared" si="3"/>
        <v>112.5</v>
      </c>
    </row>
    <row r="117" spans="1:6" x14ac:dyDescent="0.25">
      <c r="A117">
        <v>116</v>
      </c>
      <c r="B117" t="s">
        <v>14</v>
      </c>
      <c r="C117">
        <v>1</v>
      </c>
      <c r="D117" s="4">
        <v>30</v>
      </c>
      <c r="E117" s="3">
        <f t="shared" si="2"/>
        <v>2.5000000000000001E-2</v>
      </c>
      <c r="F117" s="5">
        <f t="shared" si="3"/>
        <v>0.75</v>
      </c>
    </row>
    <row r="118" spans="1:6" x14ac:dyDescent="0.25">
      <c r="A118">
        <v>117</v>
      </c>
      <c r="B118" t="s">
        <v>16</v>
      </c>
      <c r="C118">
        <v>2</v>
      </c>
      <c r="D118" s="4">
        <v>1000</v>
      </c>
      <c r="E118" s="3">
        <f t="shared" si="2"/>
        <v>7.4999999999999997E-2</v>
      </c>
      <c r="F118" s="5">
        <f t="shared" si="3"/>
        <v>75</v>
      </c>
    </row>
    <row r="119" spans="1:6" x14ac:dyDescent="0.25">
      <c r="A119">
        <v>118</v>
      </c>
      <c r="B119" t="s">
        <v>16</v>
      </c>
      <c r="C119">
        <v>4</v>
      </c>
      <c r="D119" s="4">
        <v>2000</v>
      </c>
      <c r="E119" s="3">
        <f t="shared" si="2"/>
        <v>0.1</v>
      </c>
      <c r="F119" s="5">
        <f t="shared" si="3"/>
        <v>200</v>
      </c>
    </row>
    <row r="120" spans="1:6" x14ac:dyDescent="0.25">
      <c r="A120">
        <v>119</v>
      </c>
      <c r="B120" t="s">
        <v>14</v>
      </c>
      <c r="C120">
        <v>3</v>
      </c>
      <c r="D120" s="4">
        <v>150</v>
      </c>
      <c r="E120" s="3">
        <f t="shared" si="2"/>
        <v>2.5000000000000001E-2</v>
      </c>
      <c r="F120" s="5">
        <f t="shared" si="3"/>
        <v>3.75</v>
      </c>
    </row>
    <row r="121" spans="1:6" x14ac:dyDescent="0.25">
      <c r="A121">
        <v>120</v>
      </c>
      <c r="B121" t="s">
        <v>11</v>
      </c>
      <c r="C121">
        <v>1</v>
      </c>
      <c r="D121" s="4">
        <v>50</v>
      </c>
      <c r="E121" s="3">
        <f t="shared" si="2"/>
        <v>2.5000000000000001E-2</v>
      </c>
      <c r="F121" s="5">
        <f t="shared" si="3"/>
        <v>1.25</v>
      </c>
    </row>
    <row r="122" spans="1:6" x14ac:dyDescent="0.25">
      <c r="A122">
        <v>121</v>
      </c>
      <c r="B122" t="s">
        <v>16</v>
      </c>
      <c r="C122">
        <v>4</v>
      </c>
      <c r="D122" s="4">
        <v>200</v>
      </c>
      <c r="E122" s="3">
        <f t="shared" si="2"/>
        <v>2.5000000000000001E-2</v>
      </c>
      <c r="F122" s="5">
        <f t="shared" si="3"/>
        <v>5</v>
      </c>
    </row>
    <row r="123" spans="1:6" x14ac:dyDescent="0.25">
      <c r="A123">
        <v>122</v>
      </c>
      <c r="B123" t="s">
        <v>16</v>
      </c>
      <c r="C123">
        <v>4</v>
      </c>
      <c r="D123" s="4">
        <v>120</v>
      </c>
      <c r="E123" s="3">
        <f t="shared" si="2"/>
        <v>2.5000000000000001E-2</v>
      </c>
      <c r="F123" s="5">
        <f t="shared" si="3"/>
        <v>3</v>
      </c>
    </row>
    <row r="124" spans="1:6" x14ac:dyDescent="0.25">
      <c r="A124">
        <v>123</v>
      </c>
      <c r="B124" t="s">
        <v>16</v>
      </c>
      <c r="C124">
        <v>2</v>
      </c>
      <c r="D124" s="4">
        <v>60</v>
      </c>
      <c r="E124" s="3">
        <f t="shared" si="2"/>
        <v>2.5000000000000001E-2</v>
      </c>
      <c r="F124" s="5">
        <f t="shared" si="3"/>
        <v>1.5</v>
      </c>
    </row>
    <row r="125" spans="1:6" x14ac:dyDescent="0.25">
      <c r="A125">
        <v>124</v>
      </c>
      <c r="B125" t="s">
        <v>14</v>
      </c>
      <c r="C125">
        <v>4</v>
      </c>
      <c r="D125" s="4">
        <v>2000</v>
      </c>
      <c r="E125" s="3">
        <f t="shared" si="2"/>
        <v>0.1</v>
      </c>
      <c r="F125" s="5">
        <f t="shared" si="3"/>
        <v>200</v>
      </c>
    </row>
    <row r="126" spans="1:6" x14ac:dyDescent="0.25">
      <c r="A126">
        <v>125</v>
      </c>
      <c r="B126" t="s">
        <v>14</v>
      </c>
      <c r="C126">
        <v>2</v>
      </c>
      <c r="D126" s="4">
        <v>100</v>
      </c>
      <c r="E126" s="3">
        <f t="shared" si="2"/>
        <v>2.5000000000000001E-2</v>
      </c>
      <c r="F126" s="5">
        <f t="shared" si="3"/>
        <v>2.5</v>
      </c>
    </row>
    <row r="127" spans="1:6" x14ac:dyDescent="0.25">
      <c r="A127">
        <v>126</v>
      </c>
      <c r="B127" t="s">
        <v>14</v>
      </c>
      <c r="C127">
        <v>3</v>
      </c>
      <c r="D127" s="4">
        <v>90</v>
      </c>
      <c r="E127" s="3">
        <f t="shared" si="2"/>
        <v>2.5000000000000001E-2</v>
      </c>
      <c r="F127" s="5">
        <f t="shared" si="3"/>
        <v>2.25</v>
      </c>
    </row>
    <row r="128" spans="1:6" x14ac:dyDescent="0.25">
      <c r="A128">
        <v>127</v>
      </c>
      <c r="B128" t="s">
        <v>14</v>
      </c>
      <c r="C128">
        <v>2</v>
      </c>
      <c r="D128" s="4">
        <v>50</v>
      </c>
      <c r="E128" s="3">
        <f t="shared" si="2"/>
        <v>2.5000000000000001E-2</v>
      </c>
      <c r="F128" s="5">
        <f t="shared" si="3"/>
        <v>1.25</v>
      </c>
    </row>
    <row r="129" spans="1:6" x14ac:dyDescent="0.25">
      <c r="A129">
        <v>128</v>
      </c>
      <c r="B129" t="s">
        <v>11</v>
      </c>
      <c r="C129">
        <v>1</v>
      </c>
      <c r="D129" s="4">
        <v>500</v>
      </c>
      <c r="E129" s="3">
        <f t="shared" si="2"/>
        <v>0.05</v>
      </c>
      <c r="F129" s="5">
        <f t="shared" si="3"/>
        <v>25</v>
      </c>
    </row>
    <row r="130" spans="1:6" x14ac:dyDescent="0.25">
      <c r="A130">
        <v>129</v>
      </c>
      <c r="B130" t="s">
        <v>11</v>
      </c>
      <c r="C130">
        <v>2</v>
      </c>
      <c r="D130" s="4">
        <v>600</v>
      </c>
      <c r="E130" s="3">
        <f t="shared" si="2"/>
        <v>0.05</v>
      </c>
      <c r="F130" s="5">
        <f t="shared" si="3"/>
        <v>30</v>
      </c>
    </row>
    <row r="131" spans="1:6" x14ac:dyDescent="0.25">
      <c r="A131">
        <v>130</v>
      </c>
      <c r="B131" t="s">
        <v>14</v>
      </c>
      <c r="C131">
        <v>1</v>
      </c>
      <c r="D131" s="4">
        <v>500</v>
      </c>
      <c r="E131" s="3">
        <f t="shared" ref="E131:E194" si="4">_xlfn.XLOOKUP(D131,H$2:H$5,I$2:I$5,0,-1)</f>
        <v>0.05</v>
      </c>
      <c r="F131" s="5">
        <f t="shared" ref="F131:F194" si="5">D131*E131</f>
        <v>25</v>
      </c>
    </row>
    <row r="132" spans="1:6" x14ac:dyDescent="0.25">
      <c r="A132">
        <v>131</v>
      </c>
      <c r="B132" t="s">
        <v>11</v>
      </c>
      <c r="C132">
        <v>2</v>
      </c>
      <c r="D132" s="4">
        <v>600</v>
      </c>
      <c r="E132" s="3">
        <f t="shared" si="4"/>
        <v>0.05</v>
      </c>
      <c r="F132" s="5">
        <f t="shared" si="5"/>
        <v>30</v>
      </c>
    </row>
    <row r="133" spans="1:6" x14ac:dyDescent="0.25">
      <c r="A133">
        <v>132</v>
      </c>
      <c r="B133" t="s">
        <v>16</v>
      </c>
      <c r="C133">
        <v>4</v>
      </c>
      <c r="D133" s="4">
        <v>200</v>
      </c>
      <c r="E133" s="3">
        <f t="shared" si="4"/>
        <v>2.5000000000000001E-2</v>
      </c>
      <c r="F133" s="5">
        <f t="shared" si="5"/>
        <v>5</v>
      </c>
    </row>
    <row r="134" spans="1:6" x14ac:dyDescent="0.25">
      <c r="A134">
        <v>133</v>
      </c>
      <c r="B134" t="s">
        <v>16</v>
      </c>
      <c r="C134">
        <v>3</v>
      </c>
      <c r="D134" s="4">
        <v>900</v>
      </c>
      <c r="E134" s="3">
        <f t="shared" si="4"/>
        <v>0.05</v>
      </c>
      <c r="F134" s="5">
        <f t="shared" si="5"/>
        <v>45</v>
      </c>
    </row>
    <row r="135" spans="1:6" x14ac:dyDescent="0.25">
      <c r="A135">
        <v>134</v>
      </c>
      <c r="B135" t="s">
        <v>16</v>
      </c>
      <c r="C135">
        <v>1</v>
      </c>
      <c r="D135" s="4">
        <v>50</v>
      </c>
      <c r="E135" s="3">
        <f t="shared" si="4"/>
        <v>2.5000000000000001E-2</v>
      </c>
      <c r="F135" s="5">
        <f t="shared" si="5"/>
        <v>1.25</v>
      </c>
    </row>
    <row r="136" spans="1:6" x14ac:dyDescent="0.25">
      <c r="A136">
        <v>135</v>
      </c>
      <c r="B136" t="s">
        <v>14</v>
      </c>
      <c r="C136">
        <v>2</v>
      </c>
      <c r="D136" s="4">
        <v>50</v>
      </c>
      <c r="E136" s="3">
        <f t="shared" si="4"/>
        <v>2.5000000000000001E-2</v>
      </c>
      <c r="F136" s="5">
        <f t="shared" si="5"/>
        <v>1.25</v>
      </c>
    </row>
    <row r="137" spans="1:6" x14ac:dyDescent="0.25">
      <c r="A137">
        <v>136</v>
      </c>
      <c r="B137" t="s">
        <v>16</v>
      </c>
      <c r="C137">
        <v>2</v>
      </c>
      <c r="D137" s="4">
        <v>600</v>
      </c>
      <c r="E137" s="3">
        <f t="shared" si="4"/>
        <v>0.05</v>
      </c>
      <c r="F137" s="5">
        <f t="shared" si="5"/>
        <v>30</v>
      </c>
    </row>
    <row r="138" spans="1:6" x14ac:dyDescent="0.25">
      <c r="A138">
        <v>137</v>
      </c>
      <c r="B138" t="s">
        <v>11</v>
      </c>
      <c r="C138">
        <v>2</v>
      </c>
      <c r="D138" s="4">
        <v>1000</v>
      </c>
      <c r="E138" s="3">
        <f t="shared" si="4"/>
        <v>7.4999999999999997E-2</v>
      </c>
      <c r="F138" s="5">
        <f t="shared" si="5"/>
        <v>75</v>
      </c>
    </row>
    <row r="139" spans="1:6" x14ac:dyDescent="0.25">
      <c r="A139">
        <v>138</v>
      </c>
      <c r="B139" t="s">
        <v>14</v>
      </c>
      <c r="C139">
        <v>4</v>
      </c>
      <c r="D139" s="4">
        <v>200</v>
      </c>
      <c r="E139" s="3">
        <f t="shared" si="4"/>
        <v>2.5000000000000001E-2</v>
      </c>
      <c r="F139" s="5">
        <f t="shared" si="5"/>
        <v>5</v>
      </c>
    </row>
    <row r="140" spans="1:6" x14ac:dyDescent="0.25">
      <c r="A140">
        <v>139</v>
      </c>
      <c r="B140" t="s">
        <v>11</v>
      </c>
      <c r="C140">
        <v>4</v>
      </c>
      <c r="D140" s="4">
        <v>2000</v>
      </c>
      <c r="E140" s="3">
        <f t="shared" si="4"/>
        <v>0.1</v>
      </c>
      <c r="F140" s="5">
        <f t="shared" si="5"/>
        <v>200</v>
      </c>
    </row>
    <row r="141" spans="1:6" x14ac:dyDescent="0.25">
      <c r="A141">
        <v>140</v>
      </c>
      <c r="B141" t="s">
        <v>16</v>
      </c>
      <c r="C141">
        <v>1</v>
      </c>
      <c r="D141" s="4">
        <v>30</v>
      </c>
      <c r="E141" s="3">
        <f t="shared" si="4"/>
        <v>2.5000000000000001E-2</v>
      </c>
      <c r="F141" s="5">
        <f t="shared" si="5"/>
        <v>0.75</v>
      </c>
    </row>
    <row r="142" spans="1:6" x14ac:dyDescent="0.25">
      <c r="A142">
        <v>141</v>
      </c>
      <c r="B142" t="s">
        <v>16</v>
      </c>
      <c r="C142">
        <v>1</v>
      </c>
      <c r="D142" s="4">
        <v>50</v>
      </c>
      <c r="E142" s="3">
        <f t="shared" si="4"/>
        <v>2.5000000000000001E-2</v>
      </c>
      <c r="F142" s="5">
        <f t="shared" si="5"/>
        <v>1.25</v>
      </c>
    </row>
    <row r="143" spans="1:6" x14ac:dyDescent="0.25">
      <c r="A143">
        <v>142</v>
      </c>
      <c r="B143" t="s">
        <v>16</v>
      </c>
      <c r="C143">
        <v>4</v>
      </c>
      <c r="D143" s="4">
        <v>1200</v>
      </c>
      <c r="E143" s="3">
        <f t="shared" si="4"/>
        <v>7.4999999999999997E-2</v>
      </c>
      <c r="F143" s="5">
        <f t="shared" si="5"/>
        <v>90</v>
      </c>
    </row>
    <row r="144" spans="1:6" x14ac:dyDescent="0.25">
      <c r="A144">
        <v>143</v>
      </c>
      <c r="B144" t="s">
        <v>14</v>
      </c>
      <c r="C144">
        <v>1</v>
      </c>
      <c r="D144" s="4">
        <v>50</v>
      </c>
      <c r="E144" s="3">
        <f t="shared" si="4"/>
        <v>2.5000000000000001E-2</v>
      </c>
      <c r="F144" s="5">
        <f t="shared" si="5"/>
        <v>1.25</v>
      </c>
    </row>
    <row r="145" spans="1:6" x14ac:dyDescent="0.25">
      <c r="A145">
        <v>144</v>
      </c>
      <c r="B145" t="s">
        <v>11</v>
      </c>
      <c r="C145">
        <v>3</v>
      </c>
      <c r="D145" s="4">
        <v>1500</v>
      </c>
      <c r="E145" s="3">
        <f t="shared" si="4"/>
        <v>7.4999999999999997E-2</v>
      </c>
      <c r="F145" s="5">
        <f t="shared" si="5"/>
        <v>112.5</v>
      </c>
    </row>
    <row r="146" spans="1:6" x14ac:dyDescent="0.25">
      <c r="A146">
        <v>145</v>
      </c>
      <c r="B146" t="s">
        <v>14</v>
      </c>
      <c r="C146">
        <v>3</v>
      </c>
      <c r="D146" s="4">
        <v>75</v>
      </c>
      <c r="E146" s="3">
        <f t="shared" si="4"/>
        <v>2.5000000000000001E-2</v>
      </c>
      <c r="F146" s="5">
        <f t="shared" si="5"/>
        <v>1.875</v>
      </c>
    </row>
    <row r="147" spans="1:6" x14ac:dyDescent="0.25">
      <c r="A147">
        <v>146</v>
      </c>
      <c r="B147" t="s">
        <v>14</v>
      </c>
      <c r="C147">
        <v>4</v>
      </c>
      <c r="D147" s="4">
        <v>200</v>
      </c>
      <c r="E147" s="3">
        <f t="shared" si="4"/>
        <v>2.5000000000000001E-2</v>
      </c>
      <c r="F147" s="5">
        <f t="shared" si="5"/>
        <v>5</v>
      </c>
    </row>
    <row r="148" spans="1:6" x14ac:dyDescent="0.25">
      <c r="A148">
        <v>147</v>
      </c>
      <c r="B148" t="s">
        <v>16</v>
      </c>
      <c r="C148">
        <v>1</v>
      </c>
      <c r="D148" s="4">
        <v>300</v>
      </c>
      <c r="E148" s="3">
        <f t="shared" si="4"/>
        <v>2.5000000000000001E-2</v>
      </c>
      <c r="F148" s="5">
        <f t="shared" si="5"/>
        <v>7.5</v>
      </c>
    </row>
    <row r="149" spans="1:6" x14ac:dyDescent="0.25">
      <c r="A149">
        <v>148</v>
      </c>
      <c r="B149" t="s">
        <v>14</v>
      </c>
      <c r="C149">
        <v>2</v>
      </c>
      <c r="D149" s="4">
        <v>60</v>
      </c>
      <c r="E149" s="3">
        <f t="shared" si="4"/>
        <v>2.5000000000000001E-2</v>
      </c>
      <c r="F149" s="5">
        <f t="shared" si="5"/>
        <v>1.5</v>
      </c>
    </row>
    <row r="150" spans="1:6" x14ac:dyDescent="0.25">
      <c r="A150">
        <v>149</v>
      </c>
      <c r="B150" t="s">
        <v>14</v>
      </c>
      <c r="C150">
        <v>3</v>
      </c>
      <c r="D150" s="4">
        <v>75</v>
      </c>
      <c r="E150" s="3">
        <f t="shared" si="4"/>
        <v>2.5000000000000001E-2</v>
      </c>
      <c r="F150" s="5">
        <f t="shared" si="5"/>
        <v>1.875</v>
      </c>
    </row>
    <row r="151" spans="1:6" x14ac:dyDescent="0.25">
      <c r="A151">
        <v>150</v>
      </c>
      <c r="B151" t="s">
        <v>16</v>
      </c>
      <c r="C151">
        <v>4</v>
      </c>
      <c r="D151" s="4">
        <v>120</v>
      </c>
      <c r="E151" s="3">
        <f t="shared" si="4"/>
        <v>2.5000000000000001E-2</v>
      </c>
      <c r="F151" s="5">
        <f t="shared" si="5"/>
        <v>3</v>
      </c>
    </row>
    <row r="152" spans="1:6" x14ac:dyDescent="0.25">
      <c r="A152">
        <v>151</v>
      </c>
      <c r="B152" t="s">
        <v>14</v>
      </c>
      <c r="C152">
        <v>1</v>
      </c>
      <c r="D152" s="4">
        <v>50</v>
      </c>
      <c r="E152" s="3">
        <f t="shared" si="4"/>
        <v>2.5000000000000001E-2</v>
      </c>
      <c r="F152" s="5">
        <f t="shared" si="5"/>
        <v>1.25</v>
      </c>
    </row>
    <row r="153" spans="1:6" x14ac:dyDescent="0.25">
      <c r="A153">
        <v>152</v>
      </c>
      <c r="B153" t="s">
        <v>16</v>
      </c>
      <c r="C153">
        <v>4</v>
      </c>
      <c r="D153" s="4">
        <v>2000</v>
      </c>
      <c r="E153" s="3">
        <f t="shared" si="4"/>
        <v>0.1</v>
      </c>
      <c r="F153" s="5">
        <f t="shared" si="5"/>
        <v>200</v>
      </c>
    </row>
    <row r="154" spans="1:6" x14ac:dyDescent="0.25">
      <c r="A154">
        <v>153</v>
      </c>
      <c r="B154" t="s">
        <v>16</v>
      </c>
      <c r="C154">
        <v>2</v>
      </c>
      <c r="D154" s="4">
        <v>1000</v>
      </c>
      <c r="E154" s="3">
        <f t="shared" si="4"/>
        <v>7.4999999999999997E-2</v>
      </c>
      <c r="F154" s="5">
        <f t="shared" si="5"/>
        <v>75</v>
      </c>
    </row>
    <row r="155" spans="1:6" x14ac:dyDescent="0.25">
      <c r="A155">
        <v>154</v>
      </c>
      <c r="B155" t="s">
        <v>16</v>
      </c>
      <c r="C155">
        <v>3</v>
      </c>
      <c r="D155" s="4">
        <v>900</v>
      </c>
      <c r="E155" s="3">
        <f t="shared" si="4"/>
        <v>0.05</v>
      </c>
      <c r="F155" s="5">
        <f t="shared" si="5"/>
        <v>45</v>
      </c>
    </row>
    <row r="156" spans="1:6" x14ac:dyDescent="0.25">
      <c r="A156">
        <v>155</v>
      </c>
      <c r="B156" t="s">
        <v>16</v>
      </c>
      <c r="C156">
        <v>4</v>
      </c>
      <c r="D156" s="4">
        <v>2000</v>
      </c>
      <c r="E156" s="3">
        <f t="shared" si="4"/>
        <v>0.1</v>
      </c>
      <c r="F156" s="5">
        <f t="shared" si="5"/>
        <v>200</v>
      </c>
    </row>
    <row r="157" spans="1:6" x14ac:dyDescent="0.25">
      <c r="A157">
        <v>156</v>
      </c>
      <c r="B157" t="s">
        <v>14</v>
      </c>
      <c r="C157">
        <v>4</v>
      </c>
      <c r="D157" s="4">
        <v>100</v>
      </c>
      <c r="E157" s="3">
        <f t="shared" si="4"/>
        <v>2.5000000000000001E-2</v>
      </c>
      <c r="F157" s="5">
        <f t="shared" si="5"/>
        <v>2.5</v>
      </c>
    </row>
    <row r="158" spans="1:6" x14ac:dyDescent="0.25">
      <c r="A158">
        <v>157</v>
      </c>
      <c r="B158" t="s">
        <v>16</v>
      </c>
      <c r="C158">
        <v>4</v>
      </c>
      <c r="D158" s="4">
        <v>2000</v>
      </c>
      <c r="E158" s="3">
        <f t="shared" si="4"/>
        <v>0.1</v>
      </c>
      <c r="F158" s="5">
        <f t="shared" si="5"/>
        <v>200</v>
      </c>
    </row>
    <row r="159" spans="1:6" x14ac:dyDescent="0.25">
      <c r="A159">
        <v>158</v>
      </c>
      <c r="B159" t="s">
        <v>16</v>
      </c>
      <c r="C159">
        <v>2</v>
      </c>
      <c r="D159" s="4">
        <v>600</v>
      </c>
      <c r="E159" s="3">
        <f t="shared" si="4"/>
        <v>0.05</v>
      </c>
      <c r="F159" s="5">
        <f t="shared" si="5"/>
        <v>30</v>
      </c>
    </row>
    <row r="160" spans="1:6" x14ac:dyDescent="0.25">
      <c r="A160">
        <v>159</v>
      </c>
      <c r="B160" t="s">
        <v>14</v>
      </c>
      <c r="C160">
        <v>4</v>
      </c>
      <c r="D160" s="4">
        <v>200</v>
      </c>
      <c r="E160" s="3">
        <f t="shared" si="4"/>
        <v>2.5000000000000001E-2</v>
      </c>
      <c r="F160" s="5">
        <f t="shared" si="5"/>
        <v>5</v>
      </c>
    </row>
    <row r="161" spans="1:6" x14ac:dyDescent="0.25">
      <c r="A161">
        <v>160</v>
      </c>
      <c r="B161" t="s">
        <v>14</v>
      </c>
      <c r="C161">
        <v>2</v>
      </c>
      <c r="D161" s="4">
        <v>100</v>
      </c>
      <c r="E161" s="3">
        <f t="shared" si="4"/>
        <v>2.5000000000000001E-2</v>
      </c>
      <c r="F161" s="5">
        <f t="shared" si="5"/>
        <v>2.5</v>
      </c>
    </row>
    <row r="162" spans="1:6" x14ac:dyDescent="0.25">
      <c r="A162">
        <v>161</v>
      </c>
      <c r="B162" t="s">
        <v>11</v>
      </c>
      <c r="C162">
        <v>2</v>
      </c>
      <c r="D162" s="4">
        <v>1000</v>
      </c>
      <c r="E162" s="3">
        <f t="shared" si="4"/>
        <v>7.4999999999999997E-2</v>
      </c>
      <c r="F162" s="5">
        <f t="shared" si="5"/>
        <v>75</v>
      </c>
    </row>
    <row r="163" spans="1:6" x14ac:dyDescent="0.25">
      <c r="A163">
        <v>162</v>
      </c>
      <c r="B163" t="s">
        <v>14</v>
      </c>
      <c r="C163">
        <v>2</v>
      </c>
      <c r="D163" s="4">
        <v>60</v>
      </c>
      <c r="E163" s="3">
        <f t="shared" si="4"/>
        <v>2.5000000000000001E-2</v>
      </c>
      <c r="F163" s="5">
        <f t="shared" si="5"/>
        <v>1.5</v>
      </c>
    </row>
    <row r="164" spans="1:6" x14ac:dyDescent="0.25">
      <c r="A164">
        <v>163</v>
      </c>
      <c r="B164" t="s">
        <v>14</v>
      </c>
      <c r="C164">
        <v>3</v>
      </c>
      <c r="D164" s="4">
        <v>150</v>
      </c>
      <c r="E164" s="3">
        <f t="shared" si="4"/>
        <v>2.5000000000000001E-2</v>
      </c>
      <c r="F164" s="5">
        <f t="shared" si="5"/>
        <v>3.75</v>
      </c>
    </row>
    <row r="165" spans="1:6" x14ac:dyDescent="0.25">
      <c r="A165">
        <v>164</v>
      </c>
      <c r="B165" t="s">
        <v>11</v>
      </c>
      <c r="C165">
        <v>3</v>
      </c>
      <c r="D165" s="4">
        <v>1500</v>
      </c>
      <c r="E165" s="3">
        <f t="shared" si="4"/>
        <v>7.4999999999999997E-2</v>
      </c>
      <c r="F165" s="5">
        <f t="shared" si="5"/>
        <v>112.5</v>
      </c>
    </row>
    <row r="166" spans="1:6" x14ac:dyDescent="0.25">
      <c r="A166">
        <v>165</v>
      </c>
      <c r="B166" t="s">
        <v>14</v>
      </c>
      <c r="C166">
        <v>4</v>
      </c>
      <c r="D166" s="4">
        <v>1200</v>
      </c>
      <c r="E166" s="3">
        <f t="shared" si="4"/>
        <v>7.4999999999999997E-2</v>
      </c>
      <c r="F166" s="5">
        <f t="shared" si="5"/>
        <v>90</v>
      </c>
    </row>
    <row r="167" spans="1:6" x14ac:dyDescent="0.25">
      <c r="A167">
        <v>166</v>
      </c>
      <c r="B167" t="s">
        <v>14</v>
      </c>
      <c r="C167">
        <v>4</v>
      </c>
      <c r="D167" s="4">
        <v>2000</v>
      </c>
      <c r="E167" s="3">
        <f t="shared" si="4"/>
        <v>0.1</v>
      </c>
      <c r="F167" s="5">
        <f t="shared" si="5"/>
        <v>200</v>
      </c>
    </row>
    <row r="168" spans="1:6" x14ac:dyDescent="0.25">
      <c r="A168">
        <v>167</v>
      </c>
      <c r="B168" t="s">
        <v>14</v>
      </c>
      <c r="C168">
        <v>3</v>
      </c>
      <c r="D168" s="4">
        <v>150</v>
      </c>
      <c r="E168" s="3">
        <f t="shared" si="4"/>
        <v>2.5000000000000001E-2</v>
      </c>
      <c r="F168" s="5">
        <f t="shared" si="5"/>
        <v>3.75</v>
      </c>
    </row>
    <row r="169" spans="1:6" x14ac:dyDescent="0.25">
      <c r="A169">
        <v>168</v>
      </c>
      <c r="B169" t="s">
        <v>14</v>
      </c>
      <c r="C169">
        <v>1</v>
      </c>
      <c r="D169" s="4">
        <v>300</v>
      </c>
      <c r="E169" s="3">
        <f t="shared" si="4"/>
        <v>2.5000000000000001E-2</v>
      </c>
      <c r="F169" s="5">
        <f t="shared" si="5"/>
        <v>7.5</v>
      </c>
    </row>
    <row r="170" spans="1:6" x14ac:dyDescent="0.25">
      <c r="A170">
        <v>169</v>
      </c>
      <c r="B170" t="s">
        <v>11</v>
      </c>
      <c r="C170">
        <v>3</v>
      </c>
      <c r="D170" s="4">
        <v>1500</v>
      </c>
      <c r="E170" s="3">
        <f t="shared" si="4"/>
        <v>7.4999999999999997E-2</v>
      </c>
      <c r="F170" s="5">
        <f t="shared" si="5"/>
        <v>112.5</v>
      </c>
    </row>
    <row r="171" spans="1:6" x14ac:dyDescent="0.25">
      <c r="A171">
        <v>170</v>
      </c>
      <c r="B171" t="s">
        <v>14</v>
      </c>
      <c r="C171">
        <v>2</v>
      </c>
      <c r="D171" s="4">
        <v>50</v>
      </c>
      <c r="E171" s="3">
        <f t="shared" si="4"/>
        <v>2.5000000000000001E-2</v>
      </c>
      <c r="F171" s="5">
        <f t="shared" si="5"/>
        <v>1.25</v>
      </c>
    </row>
    <row r="172" spans="1:6" x14ac:dyDescent="0.25">
      <c r="A172">
        <v>171</v>
      </c>
      <c r="B172" t="s">
        <v>14</v>
      </c>
      <c r="C172">
        <v>3</v>
      </c>
      <c r="D172" s="4">
        <v>900</v>
      </c>
      <c r="E172" s="3">
        <f t="shared" si="4"/>
        <v>0.05</v>
      </c>
      <c r="F172" s="5">
        <f t="shared" si="5"/>
        <v>45</v>
      </c>
    </row>
    <row r="173" spans="1:6" x14ac:dyDescent="0.25">
      <c r="A173">
        <v>172</v>
      </c>
      <c r="B173" t="s">
        <v>11</v>
      </c>
      <c r="C173">
        <v>2</v>
      </c>
      <c r="D173" s="4">
        <v>50</v>
      </c>
      <c r="E173" s="3">
        <f t="shared" si="4"/>
        <v>2.5000000000000001E-2</v>
      </c>
      <c r="F173" s="5">
        <f t="shared" si="5"/>
        <v>1.25</v>
      </c>
    </row>
    <row r="174" spans="1:6" x14ac:dyDescent="0.25">
      <c r="A174">
        <v>173</v>
      </c>
      <c r="B174" t="s">
        <v>16</v>
      </c>
      <c r="C174">
        <v>4</v>
      </c>
      <c r="D174" s="4">
        <v>120</v>
      </c>
      <c r="E174" s="3">
        <f t="shared" si="4"/>
        <v>2.5000000000000001E-2</v>
      </c>
      <c r="F174" s="5">
        <f t="shared" si="5"/>
        <v>3</v>
      </c>
    </row>
    <row r="175" spans="1:6" x14ac:dyDescent="0.25">
      <c r="A175">
        <v>174</v>
      </c>
      <c r="B175" t="s">
        <v>11</v>
      </c>
      <c r="C175">
        <v>1</v>
      </c>
      <c r="D175" s="4">
        <v>300</v>
      </c>
      <c r="E175" s="3">
        <f t="shared" si="4"/>
        <v>2.5000000000000001E-2</v>
      </c>
      <c r="F175" s="5">
        <f t="shared" si="5"/>
        <v>7.5</v>
      </c>
    </row>
    <row r="176" spans="1:6" x14ac:dyDescent="0.25">
      <c r="A176">
        <v>175</v>
      </c>
      <c r="B176" t="s">
        <v>16</v>
      </c>
      <c r="C176">
        <v>4</v>
      </c>
      <c r="D176" s="4">
        <v>100</v>
      </c>
      <c r="E176" s="3">
        <f t="shared" si="4"/>
        <v>2.5000000000000001E-2</v>
      </c>
      <c r="F176" s="5">
        <f t="shared" si="5"/>
        <v>2.5</v>
      </c>
    </row>
    <row r="177" spans="1:6" x14ac:dyDescent="0.25">
      <c r="A177">
        <v>176</v>
      </c>
      <c r="B177" t="s">
        <v>11</v>
      </c>
      <c r="C177">
        <v>2</v>
      </c>
      <c r="D177" s="4">
        <v>100</v>
      </c>
      <c r="E177" s="3">
        <f t="shared" si="4"/>
        <v>2.5000000000000001E-2</v>
      </c>
      <c r="F177" s="5">
        <f t="shared" si="5"/>
        <v>2.5</v>
      </c>
    </row>
    <row r="178" spans="1:6" x14ac:dyDescent="0.25">
      <c r="A178">
        <v>177</v>
      </c>
      <c r="B178" t="s">
        <v>11</v>
      </c>
      <c r="C178">
        <v>2</v>
      </c>
      <c r="D178" s="4">
        <v>100</v>
      </c>
      <c r="E178" s="3">
        <f t="shared" si="4"/>
        <v>2.5000000000000001E-2</v>
      </c>
      <c r="F178" s="5">
        <f t="shared" si="5"/>
        <v>2.5</v>
      </c>
    </row>
    <row r="179" spans="1:6" x14ac:dyDescent="0.25">
      <c r="A179">
        <v>178</v>
      </c>
      <c r="B179" t="s">
        <v>14</v>
      </c>
      <c r="C179">
        <v>2</v>
      </c>
      <c r="D179" s="4">
        <v>60</v>
      </c>
      <c r="E179" s="3">
        <f t="shared" si="4"/>
        <v>2.5000000000000001E-2</v>
      </c>
      <c r="F179" s="5">
        <f t="shared" si="5"/>
        <v>1.5</v>
      </c>
    </row>
    <row r="180" spans="1:6" x14ac:dyDescent="0.25">
      <c r="A180">
        <v>179</v>
      </c>
      <c r="B180" t="s">
        <v>16</v>
      </c>
      <c r="C180">
        <v>1</v>
      </c>
      <c r="D180" s="4">
        <v>300</v>
      </c>
      <c r="E180" s="3">
        <f t="shared" si="4"/>
        <v>2.5000000000000001E-2</v>
      </c>
      <c r="F180" s="5">
        <f t="shared" si="5"/>
        <v>7.5</v>
      </c>
    </row>
    <row r="181" spans="1:6" x14ac:dyDescent="0.25">
      <c r="A181">
        <v>180</v>
      </c>
      <c r="B181" t="s">
        <v>14</v>
      </c>
      <c r="C181">
        <v>3</v>
      </c>
      <c r="D181" s="4">
        <v>900</v>
      </c>
      <c r="E181" s="3">
        <f t="shared" si="4"/>
        <v>0.05</v>
      </c>
      <c r="F181" s="5">
        <f t="shared" si="5"/>
        <v>45</v>
      </c>
    </row>
    <row r="182" spans="1:6" x14ac:dyDescent="0.25">
      <c r="A182">
        <v>181</v>
      </c>
      <c r="B182" t="s">
        <v>16</v>
      </c>
      <c r="C182">
        <v>4</v>
      </c>
      <c r="D182" s="4">
        <v>1200</v>
      </c>
      <c r="E182" s="3">
        <f t="shared" si="4"/>
        <v>7.4999999999999997E-2</v>
      </c>
      <c r="F182" s="5">
        <f t="shared" si="5"/>
        <v>90</v>
      </c>
    </row>
    <row r="183" spans="1:6" x14ac:dyDescent="0.25">
      <c r="A183">
        <v>182</v>
      </c>
      <c r="B183" t="s">
        <v>11</v>
      </c>
      <c r="C183">
        <v>4</v>
      </c>
      <c r="D183" s="4">
        <v>120</v>
      </c>
      <c r="E183" s="3">
        <f t="shared" si="4"/>
        <v>2.5000000000000001E-2</v>
      </c>
      <c r="F183" s="5">
        <f t="shared" si="5"/>
        <v>3</v>
      </c>
    </row>
    <row r="184" spans="1:6" x14ac:dyDescent="0.25">
      <c r="A184">
        <v>183</v>
      </c>
      <c r="B184" t="s">
        <v>11</v>
      </c>
      <c r="C184">
        <v>3</v>
      </c>
      <c r="D184" s="4">
        <v>900</v>
      </c>
      <c r="E184" s="3">
        <f t="shared" si="4"/>
        <v>0.05</v>
      </c>
      <c r="F184" s="5">
        <f t="shared" si="5"/>
        <v>45</v>
      </c>
    </row>
    <row r="185" spans="1:6" x14ac:dyDescent="0.25">
      <c r="A185">
        <v>184</v>
      </c>
      <c r="B185" t="s">
        <v>16</v>
      </c>
      <c r="C185">
        <v>4</v>
      </c>
      <c r="D185" s="4">
        <v>200</v>
      </c>
      <c r="E185" s="3">
        <f t="shared" si="4"/>
        <v>2.5000000000000001E-2</v>
      </c>
      <c r="F185" s="5">
        <f t="shared" si="5"/>
        <v>5</v>
      </c>
    </row>
    <row r="186" spans="1:6" x14ac:dyDescent="0.25">
      <c r="A186">
        <v>185</v>
      </c>
      <c r="B186" t="s">
        <v>14</v>
      </c>
      <c r="C186">
        <v>1</v>
      </c>
      <c r="D186" s="4">
        <v>25</v>
      </c>
      <c r="E186" s="3">
        <f t="shared" si="4"/>
        <v>2.5000000000000001E-2</v>
      </c>
      <c r="F186" s="5">
        <f t="shared" si="5"/>
        <v>0.625</v>
      </c>
    </row>
    <row r="187" spans="1:6" x14ac:dyDescent="0.25">
      <c r="A187">
        <v>186</v>
      </c>
      <c r="B187" t="s">
        <v>14</v>
      </c>
      <c r="C187">
        <v>4</v>
      </c>
      <c r="D187" s="4">
        <v>200</v>
      </c>
      <c r="E187" s="3">
        <f t="shared" si="4"/>
        <v>2.5000000000000001E-2</v>
      </c>
      <c r="F187" s="5">
        <f t="shared" si="5"/>
        <v>5</v>
      </c>
    </row>
    <row r="188" spans="1:6" x14ac:dyDescent="0.25">
      <c r="A188">
        <v>187</v>
      </c>
      <c r="B188" t="s">
        <v>14</v>
      </c>
      <c r="C188">
        <v>2</v>
      </c>
      <c r="D188" s="4">
        <v>100</v>
      </c>
      <c r="E188" s="3">
        <f t="shared" si="4"/>
        <v>2.5000000000000001E-2</v>
      </c>
      <c r="F188" s="5">
        <f t="shared" si="5"/>
        <v>2.5</v>
      </c>
    </row>
    <row r="189" spans="1:6" x14ac:dyDescent="0.25">
      <c r="A189">
        <v>188</v>
      </c>
      <c r="B189" t="s">
        <v>14</v>
      </c>
      <c r="C189">
        <v>3</v>
      </c>
      <c r="D189" s="4">
        <v>75</v>
      </c>
      <c r="E189" s="3">
        <f t="shared" si="4"/>
        <v>2.5000000000000001E-2</v>
      </c>
      <c r="F189" s="5">
        <f t="shared" si="5"/>
        <v>1.875</v>
      </c>
    </row>
    <row r="190" spans="1:6" x14ac:dyDescent="0.25">
      <c r="A190">
        <v>189</v>
      </c>
      <c r="B190" t="s">
        <v>11</v>
      </c>
      <c r="C190">
        <v>1</v>
      </c>
      <c r="D190" s="4">
        <v>50</v>
      </c>
      <c r="E190" s="3">
        <f t="shared" si="4"/>
        <v>2.5000000000000001E-2</v>
      </c>
      <c r="F190" s="5">
        <f t="shared" si="5"/>
        <v>1.25</v>
      </c>
    </row>
    <row r="191" spans="1:6" x14ac:dyDescent="0.25">
      <c r="A191">
        <v>190</v>
      </c>
      <c r="B191" t="s">
        <v>11</v>
      </c>
      <c r="C191">
        <v>3</v>
      </c>
      <c r="D191" s="4">
        <v>90</v>
      </c>
      <c r="E191" s="3">
        <f t="shared" si="4"/>
        <v>2.5000000000000001E-2</v>
      </c>
      <c r="F191" s="5">
        <f t="shared" si="5"/>
        <v>2.25</v>
      </c>
    </row>
    <row r="192" spans="1:6" x14ac:dyDescent="0.25">
      <c r="A192">
        <v>191</v>
      </c>
      <c r="B192" t="s">
        <v>11</v>
      </c>
      <c r="C192">
        <v>1</v>
      </c>
      <c r="D192" s="4">
        <v>25</v>
      </c>
      <c r="E192" s="3">
        <f t="shared" si="4"/>
        <v>2.5000000000000001E-2</v>
      </c>
      <c r="F192" s="5">
        <f t="shared" si="5"/>
        <v>0.625</v>
      </c>
    </row>
    <row r="193" spans="1:6" x14ac:dyDescent="0.25">
      <c r="A193">
        <v>192</v>
      </c>
      <c r="B193" t="s">
        <v>11</v>
      </c>
      <c r="C193">
        <v>2</v>
      </c>
      <c r="D193" s="4">
        <v>100</v>
      </c>
      <c r="E193" s="3">
        <f t="shared" si="4"/>
        <v>2.5000000000000001E-2</v>
      </c>
      <c r="F193" s="5">
        <f t="shared" si="5"/>
        <v>2.5</v>
      </c>
    </row>
    <row r="194" spans="1:6" x14ac:dyDescent="0.25">
      <c r="A194">
        <v>193</v>
      </c>
      <c r="B194" t="s">
        <v>11</v>
      </c>
      <c r="C194">
        <v>3</v>
      </c>
      <c r="D194" s="4">
        <v>1500</v>
      </c>
      <c r="E194" s="3">
        <f t="shared" si="4"/>
        <v>7.4999999999999997E-2</v>
      </c>
      <c r="F194" s="5">
        <f t="shared" si="5"/>
        <v>112.5</v>
      </c>
    </row>
    <row r="195" spans="1:6" x14ac:dyDescent="0.25">
      <c r="A195">
        <v>194</v>
      </c>
      <c r="B195" t="s">
        <v>14</v>
      </c>
      <c r="C195">
        <v>4</v>
      </c>
      <c r="D195" s="4">
        <v>200</v>
      </c>
      <c r="E195" s="3">
        <f t="shared" ref="E195:E201" si="6">_xlfn.XLOOKUP(D195,H$2:H$5,I$2:I$5,0,-1)</f>
        <v>2.5000000000000001E-2</v>
      </c>
      <c r="F195" s="5">
        <f t="shared" ref="F195:F201" si="7">D195*E195</f>
        <v>5</v>
      </c>
    </row>
    <row r="196" spans="1:6" x14ac:dyDescent="0.25">
      <c r="A196">
        <v>195</v>
      </c>
      <c r="B196" t="s">
        <v>14</v>
      </c>
      <c r="C196">
        <v>1</v>
      </c>
      <c r="D196" s="4">
        <v>30</v>
      </c>
      <c r="E196" s="3">
        <f t="shared" si="6"/>
        <v>2.5000000000000001E-2</v>
      </c>
      <c r="F196" s="5">
        <f t="shared" si="7"/>
        <v>0.75</v>
      </c>
    </row>
    <row r="197" spans="1:6" x14ac:dyDescent="0.25">
      <c r="A197">
        <v>196</v>
      </c>
      <c r="B197" t="s">
        <v>14</v>
      </c>
      <c r="C197">
        <v>3</v>
      </c>
      <c r="D197" s="4">
        <v>900</v>
      </c>
      <c r="E197" s="3">
        <f t="shared" si="6"/>
        <v>0.05</v>
      </c>
      <c r="F197" s="5">
        <f t="shared" si="7"/>
        <v>45</v>
      </c>
    </row>
    <row r="198" spans="1:6" x14ac:dyDescent="0.25">
      <c r="A198">
        <v>197</v>
      </c>
      <c r="B198" t="s">
        <v>14</v>
      </c>
      <c r="C198">
        <v>4</v>
      </c>
      <c r="D198" s="4">
        <v>200</v>
      </c>
      <c r="E198" s="3">
        <f t="shared" si="6"/>
        <v>2.5000000000000001E-2</v>
      </c>
      <c r="F198" s="5">
        <f t="shared" si="7"/>
        <v>5</v>
      </c>
    </row>
    <row r="199" spans="1:6" x14ac:dyDescent="0.25">
      <c r="A199">
        <v>198</v>
      </c>
      <c r="B199" t="s">
        <v>11</v>
      </c>
      <c r="C199">
        <v>3</v>
      </c>
      <c r="D199" s="4">
        <v>900</v>
      </c>
      <c r="E199" s="3">
        <f t="shared" si="6"/>
        <v>0.05</v>
      </c>
      <c r="F199" s="5">
        <f t="shared" si="7"/>
        <v>45</v>
      </c>
    </row>
    <row r="200" spans="1:6" x14ac:dyDescent="0.25">
      <c r="A200">
        <v>199</v>
      </c>
      <c r="B200" t="s">
        <v>11</v>
      </c>
      <c r="C200">
        <v>3</v>
      </c>
      <c r="D200" s="4">
        <v>1500</v>
      </c>
      <c r="E200" s="3">
        <f t="shared" si="6"/>
        <v>7.4999999999999997E-2</v>
      </c>
      <c r="F200" s="5">
        <f t="shared" si="7"/>
        <v>112.5</v>
      </c>
    </row>
    <row r="201" spans="1:6" x14ac:dyDescent="0.25">
      <c r="A201">
        <v>200</v>
      </c>
      <c r="B201" t="s">
        <v>11</v>
      </c>
      <c r="C201">
        <v>3</v>
      </c>
      <c r="D201" s="4">
        <v>150</v>
      </c>
      <c r="E201" s="3">
        <f t="shared" si="6"/>
        <v>2.5000000000000001E-2</v>
      </c>
      <c r="F201" s="5">
        <f t="shared" si="7"/>
        <v>3.75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4BC6-A97C-4E8B-A7E0-237A22CA181C}">
  <dimension ref="A1:G18"/>
  <sheetViews>
    <sheetView zoomScale="106" zoomScaleNormal="106" workbookViewId="0">
      <selection activeCell="M7" sqref="M7"/>
    </sheetView>
  </sheetViews>
  <sheetFormatPr defaultRowHeight="15" x14ac:dyDescent="0.25"/>
  <cols>
    <col min="1" max="1" width="24.42578125" customWidth="1"/>
    <col min="2" max="2" width="19" style="4" bestFit="1" customWidth="1"/>
    <col min="3" max="3" width="16.7109375" customWidth="1"/>
    <col min="4" max="4" width="21.42578125" customWidth="1"/>
    <col min="5" max="5" width="18.140625" customWidth="1"/>
    <col min="6" max="6" width="24" bestFit="1" customWidth="1"/>
    <col min="7" max="7" width="22.42578125" customWidth="1"/>
    <col min="8" max="8" width="10.85546875" customWidth="1"/>
    <col min="9" max="9" width="11.85546875" customWidth="1"/>
    <col min="10" max="10" width="13.7109375" bestFit="1" customWidth="1"/>
    <col min="11" max="11" width="11.5703125" customWidth="1"/>
    <col min="12" max="12" width="16.140625" bestFit="1" customWidth="1"/>
    <col min="13" max="13" width="15.28515625" bestFit="1" customWidth="1"/>
    <col min="14" max="14" width="15.140625" customWidth="1"/>
  </cols>
  <sheetData>
    <row r="1" spans="1:7" ht="28.5" customHeight="1" x14ac:dyDescent="0.25">
      <c r="A1" s="7" t="s">
        <v>5</v>
      </c>
      <c r="B1" s="8" t="s">
        <v>217</v>
      </c>
      <c r="C1" s="7" t="s">
        <v>218</v>
      </c>
      <c r="D1" s="7" t="s">
        <v>222</v>
      </c>
      <c r="E1" s="7" t="s">
        <v>223</v>
      </c>
      <c r="F1" s="7" t="s">
        <v>219</v>
      </c>
      <c r="G1" s="7" t="s">
        <v>234</v>
      </c>
    </row>
    <row r="2" spans="1:7" x14ac:dyDescent="0.25">
      <c r="A2" t="s">
        <v>11</v>
      </c>
      <c r="B2" s="4">
        <f>SUMIFS('Raw Data'!I:I,'Raw Data'!F:F,A2)</f>
        <v>32845</v>
      </c>
      <c r="C2">
        <f>COUNTIF('Raw Data'!F:F,'Summary Tables'!A2)</f>
        <v>65</v>
      </c>
      <c r="D2">
        <f>COUNTIFS('Raw Data'!D:D,'Summary Tables'!A$12,'Raw Data'!F:F,_productorders[[#This Row],[Product Category]])</f>
        <v>30</v>
      </c>
      <c r="E2">
        <f>COUNTIFS('Raw Data'!D:D,'Summary Tables'!A$13,'Raw Data'!F:F,_productorders[[#This Row],[Product Category]])</f>
        <v>35</v>
      </c>
      <c r="F2" s="5">
        <f>_productorders[[#This Row],[Total Revenue]]/_productorders[[#This Row],[Total Orders]]</f>
        <v>505.30769230769232</v>
      </c>
      <c r="G2" s="5">
        <f>SUMIFS(Commission!F:F,Commission!B:B,_productorders[[#This Row],[Product Category]])</f>
        <v>2211.125</v>
      </c>
    </row>
    <row r="3" spans="1:7" x14ac:dyDescent="0.25">
      <c r="A3" t="s">
        <v>14</v>
      </c>
      <c r="B3" s="4">
        <f>SUMIFS('Raw Data'!I:I,'Raw Data'!F:F,A3)</f>
        <v>29460</v>
      </c>
      <c r="C3">
        <f>COUNTIF('Raw Data'!F:F,'Summary Tables'!A3)</f>
        <v>74</v>
      </c>
      <c r="D3">
        <f>COUNTIFS('Raw Data'!D:D,'Summary Tables'!A$12,'Raw Data'!F:F,_productorders[[#This Row],[Product Category]])</f>
        <v>38</v>
      </c>
      <c r="E3">
        <f>COUNTIFS('Raw Data'!D:D,'Summary Tables'!A$13,'Raw Data'!F:F,_productorders[[#This Row],[Product Category]])</f>
        <v>36</v>
      </c>
      <c r="F3" s="5">
        <f>_productorders[[#This Row],[Total Revenue]]/_productorders[[#This Row],[Total Orders]]</f>
        <v>398.10810810810813</v>
      </c>
      <c r="G3" s="5">
        <f>SUMIFS(Commission!F:F,Commission!B:B,_productorders[[#This Row],[Product Category]])</f>
        <v>1791.5</v>
      </c>
    </row>
    <row r="4" spans="1:7" x14ac:dyDescent="0.25">
      <c r="A4" t="s">
        <v>16</v>
      </c>
      <c r="B4" s="4">
        <f>SUMIFS('Raw Data'!I:I,'Raw Data'!F:F,A4)</f>
        <v>41330</v>
      </c>
      <c r="C4">
        <f>COUNTIF('Raw Data'!F:F,'Summary Tables'!A4)</f>
        <v>61</v>
      </c>
      <c r="D4">
        <f>COUNTIFS('Raw Data'!D:D,'Summary Tables'!A$12,'Raw Data'!F:F,_productorders[[#This Row],[Product Category]])</f>
        <v>32</v>
      </c>
      <c r="E4">
        <f>COUNTIFS('Raw Data'!D:D,'Summary Tables'!A$13,'Raw Data'!F:F,_productorders[[#This Row],[Product Category]])</f>
        <v>29</v>
      </c>
      <c r="F4" s="5">
        <f>_productorders[[#This Row],[Total Revenue]]/_productorders[[#This Row],[Total Orders]]</f>
        <v>677.54098360655735</v>
      </c>
      <c r="G4" s="5">
        <f>SUMIFS(Commission!F:F,Commission!B:B,_productorders[[#This Row],[Product Category]])</f>
        <v>3245.75</v>
      </c>
    </row>
    <row r="6" spans="1:7" x14ac:dyDescent="0.25">
      <c r="A6" s="2" t="s">
        <v>224</v>
      </c>
      <c r="B6" s="17" t="s">
        <v>225</v>
      </c>
    </row>
    <row r="7" spans="1:7" x14ac:dyDescent="0.25">
      <c r="A7" t="s">
        <v>226</v>
      </c>
      <c r="B7" s="4">
        <f>SUM(Commission!F:F)</f>
        <v>7248.375</v>
      </c>
    </row>
    <row r="8" spans="1:7" x14ac:dyDescent="0.25">
      <c r="A8" t="s">
        <v>228</v>
      </c>
      <c r="B8" s="10">
        <f>AVERAGE(Commission!E:E)</f>
        <v>4.2000000000000072E-2</v>
      </c>
    </row>
    <row r="9" spans="1:7" x14ac:dyDescent="0.25">
      <c r="A9" t="s">
        <v>227</v>
      </c>
      <c r="B9" s="4">
        <f>MAX(Commission!F:F)</f>
        <v>200</v>
      </c>
    </row>
    <row r="11" spans="1:7" ht="30" customHeight="1" x14ac:dyDescent="0.25">
      <c r="A11" s="2" t="s">
        <v>3</v>
      </c>
      <c r="B11" s="8" t="s">
        <v>218</v>
      </c>
      <c r="C11" s="8" t="s">
        <v>14</v>
      </c>
      <c r="D11" s="8" t="s">
        <v>11</v>
      </c>
      <c r="E11" s="8" t="s">
        <v>16</v>
      </c>
      <c r="F11" s="7" t="s">
        <v>220</v>
      </c>
      <c r="G11" s="7" t="s">
        <v>221</v>
      </c>
    </row>
    <row r="12" spans="1:7" x14ac:dyDescent="0.25">
      <c r="A12" t="s">
        <v>10</v>
      </c>
      <c r="B12">
        <f>COUNTIF('Raw Data'!D:D,'Summary Tables'!A12)</f>
        <v>100</v>
      </c>
      <c r="C12">
        <f>COUNTIFS('Raw Data'!D:D,_genderwise[[#This Row],[Gender]],'Raw Data'!F:F,_genderwise[[#Headers],[Clothing]])</f>
        <v>38</v>
      </c>
      <c r="D12" s="6">
        <f>COUNTIFS('Raw Data'!D:D,_genderwise[[#This Row],[Gender]],'Raw Data'!F:F,_genderwise[[#Headers],[Beauty]])</f>
        <v>30</v>
      </c>
      <c r="E12" s="6">
        <f>COUNTIFS('Raw Data'!D:D,_genderwise[[#This Row],[Gender]],'Raw Data'!F:F,_genderwise[[#Headers],[Electronics]])</f>
        <v>32</v>
      </c>
      <c r="F12" s="4">
        <f>SUMIFS('Raw Data'!I:I,'Raw Data'!D:D,'Summary Tables'!A12)</f>
        <v>51240</v>
      </c>
      <c r="G12" s="5">
        <f>F12/B12</f>
        <v>512.4</v>
      </c>
    </row>
    <row r="13" spans="1:7" x14ac:dyDescent="0.25">
      <c r="A13" t="s">
        <v>13</v>
      </c>
      <c r="B13">
        <f>COUNTIF('Raw Data'!D:D,'Summary Tables'!A13)</f>
        <v>100</v>
      </c>
      <c r="C13">
        <f>COUNTIFS('Raw Data'!D:D,_genderwise[[#This Row],[Gender]],'Raw Data'!F:F,_genderwise[[#Headers],[Clothing]])</f>
        <v>36</v>
      </c>
      <c r="D13">
        <f>COUNTIFS('Raw Data'!D:D,_genderwise[[#This Row],[Gender]],'Raw Data'!F:F,_genderwise[[#Headers],[Beauty]])</f>
        <v>35</v>
      </c>
      <c r="E13">
        <f>COUNTIFS('Raw Data'!D:D,_genderwise[[#This Row],[Gender]],'Raw Data'!F:F,_genderwise[[#Headers],[Electronics]])</f>
        <v>29</v>
      </c>
      <c r="F13" s="4">
        <f>SUMIFS('Raw Data'!I:I,'Raw Data'!D:D,'Summary Tables'!A13)</f>
        <v>52395</v>
      </c>
      <c r="G13" s="5">
        <f>F13/B13</f>
        <v>523.95000000000005</v>
      </c>
    </row>
    <row r="15" spans="1:7" x14ac:dyDescent="0.25">
      <c r="A15" s="7" t="s">
        <v>229</v>
      </c>
      <c r="B15" s="8" t="s">
        <v>218</v>
      </c>
      <c r="C15" s="7" t="s">
        <v>220</v>
      </c>
      <c r="D15" s="7" t="s">
        <v>221</v>
      </c>
      <c r="E15" s="7"/>
    </row>
    <row r="16" spans="1:7" x14ac:dyDescent="0.25">
      <c r="A16" t="s">
        <v>230</v>
      </c>
      <c r="B16" s="11">
        <f>COUNTIFS('Raw Data'!E:E,"&lt;30")</f>
        <v>52</v>
      </c>
      <c r="C16" s="4">
        <f>SUMIFS('Raw Data'!I:I,'Raw Data'!E:E,"&lt;30")</f>
        <v>26355</v>
      </c>
      <c r="D16" s="5">
        <f>C16/B16</f>
        <v>506.82692307692309</v>
      </c>
    </row>
    <row r="17" spans="1:4" x14ac:dyDescent="0.25">
      <c r="A17" t="s">
        <v>231</v>
      </c>
      <c r="B17" s="11">
        <f>COUNTIFS('Raw Data'!E:E,"&gt;=30",'Raw Data'!E:E,"&lt;50")</f>
        <v>91</v>
      </c>
      <c r="C17" s="4">
        <f>SUMIFS('Raw Data'!I:I,'Raw Data'!E:E,"&gt;=30",'Raw Data'!E:E,"&lt;50")</f>
        <v>50485</v>
      </c>
      <c r="D17" s="5">
        <f t="shared" ref="D17:D18" si="0">C17/B17</f>
        <v>554.7802197802198</v>
      </c>
    </row>
    <row r="18" spans="1:4" x14ac:dyDescent="0.25">
      <c r="A18" t="s">
        <v>232</v>
      </c>
      <c r="B18" s="11">
        <f>COUNTIF('Raw Data'!E:E,"&gt;=50")</f>
        <v>57</v>
      </c>
      <c r="C18" s="4">
        <f>SUMIFS('Raw Data'!I:I,'Raw Data'!E:E,"&gt;=50")</f>
        <v>26795</v>
      </c>
      <c r="D18" s="5">
        <f t="shared" si="0"/>
        <v>470.08771929824559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140B-DE80-4778-A06A-E55CE37D41BB}">
  <dimension ref="A1:K2"/>
  <sheetViews>
    <sheetView showGridLines="0" workbookViewId="0">
      <selection activeCell="AE10" sqref="AE10"/>
    </sheetView>
  </sheetViews>
  <sheetFormatPr defaultRowHeight="15" x14ac:dyDescent="0.25"/>
  <cols>
    <col min="1" max="1" width="18.28515625" customWidth="1"/>
    <col min="2" max="2" width="18.140625" customWidth="1"/>
    <col min="3" max="3" width="18" customWidth="1"/>
    <col min="4" max="4" width="6" customWidth="1"/>
    <col min="5" max="5" width="21.140625" customWidth="1"/>
    <col min="6" max="6" width="20.85546875" customWidth="1"/>
    <col min="7" max="7" width="20.7109375" customWidth="1"/>
    <col min="8" max="8" width="5.5703125" customWidth="1"/>
    <col min="9" max="9" width="20.85546875" customWidth="1"/>
    <col min="10" max="10" width="18.7109375" customWidth="1"/>
    <col min="11" max="11" width="19.5703125" customWidth="1"/>
  </cols>
  <sheetData>
    <row r="1" spans="1:11" ht="21.75" customHeight="1" x14ac:dyDescent="0.25">
      <c r="A1" s="14" t="s">
        <v>217</v>
      </c>
      <c r="B1" s="14"/>
      <c r="C1" s="14"/>
      <c r="E1" s="14" t="s">
        <v>233</v>
      </c>
      <c r="F1" s="14"/>
      <c r="G1" s="14"/>
      <c r="I1" s="14" t="s">
        <v>235</v>
      </c>
      <c r="J1" s="14"/>
      <c r="K1" s="14"/>
    </row>
    <row r="2" spans="1:11" ht="21.75" customHeight="1" x14ac:dyDescent="0.25">
      <c r="A2" s="18">
        <f>SUM(_productorders[Total Revenue])</f>
        <v>103635</v>
      </c>
      <c r="B2" s="18"/>
      <c r="C2" s="18"/>
      <c r="E2" s="16">
        <f>SUM(_productorders[Total Orders])</f>
        <v>200</v>
      </c>
      <c r="F2" s="16"/>
      <c r="G2" s="16"/>
      <c r="I2" s="15">
        <f>'Summary Tables'!B7</f>
        <v>7248.375</v>
      </c>
      <c r="J2" s="16"/>
      <c r="K2" s="16"/>
    </row>
  </sheetData>
  <mergeCells count="6">
    <mergeCell ref="I1:K1"/>
    <mergeCell ref="I2:K2"/>
    <mergeCell ref="A1:C1"/>
    <mergeCell ref="E1:G1"/>
    <mergeCell ref="A2:C2"/>
    <mergeCell ref="E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Commission</vt:lpstr>
      <vt:lpstr>Summary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Vindiya Dewmin</dc:creator>
  <cp:lastModifiedBy>Vindiya Dewmin</cp:lastModifiedBy>
  <dcterms:created xsi:type="dcterms:W3CDTF">2026-10-14T18:16:39Z</dcterms:created>
  <dcterms:modified xsi:type="dcterms:W3CDTF">2026-10-15T16:51:17Z</dcterms:modified>
</cp:coreProperties>
</file>